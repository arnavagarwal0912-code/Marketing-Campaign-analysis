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Arnav\OneDrive\Desktop\"/>
    </mc:Choice>
  </mc:AlternateContent>
  <xr:revisionPtr revIDLastSave="0" documentId="13_ncr:1_{5D4172CE-D804-43C4-A2D3-54F09FECEE66}" xr6:coauthVersionLast="47" xr6:coauthVersionMax="47" xr10:uidLastSave="{00000000-0000-0000-0000-000000000000}"/>
  <bookViews>
    <workbookView xWindow="-110" yWindow="-110" windowWidth="19420" windowHeight="11500" firstSheet="2" activeTab="6" xr2:uid="{00000000-000D-0000-FFFF-FFFF00000000}"/>
  </bookViews>
  <sheets>
    <sheet name="Group Members" sheetId="11" r:id="rId1"/>
    <sheet name="Data" sheetId="1" r:id="rId2"/>
    <sheet name="Questions" sheetId="2" r:id="rId3"/>
    <sheet name="Pivot Table" sheetId="4" r:id="rId4"/>
    <sheet name="Home" sheetId="7" r:id="rId5"/>
    <sheet name="Engagement Rate" sheetId="9" r:id="rId6"/>
    <sheet name="ROI" sheetId="10" r:id="rId7"/>
    <sheet name="Conversions" sheetId="8" r:id="rId8"/>
  </sheets>
  <definedNames>
    <definedName name="Slicer_Campaign_ID">#N/A</definedName>
    <definedName name="Slicer_Campaign_ID1">#N/A</definedName>
    <definedName name="Slicer_Channel">#N/A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2" i="1"/>
</calcChain>
</file>

<file path=xl/sharedStrings.xml><?xml version="1.0" encoding="utf-8"?>
<sst xmlns="http://schemas.openxmlformats.org/spreadsheetml/2006/main" count="234" uniqueCount="80">
  <si>
    <t>Campaign ID</t>
  </si>
  <si>
    <t>Channel</t>
  </si>
  <si>
    <t>Budget (USD)</t>
  </si>
  <si>
    <t>Reach</t>
  </si>
  <si>
    <t>Conversions</t>
  </si>
  <si>
    <t>Engagement Rate (%)</t>
  </si>
  <si>
    <t>ROI (%)</t>
  </si>
  <si>
    <t>CAMP001</t>
  </si>
  <si>
    <t>CAMP002</t>
  </si>
  <si>
    <t>CAMP003</t>
  </si>
  <si>
    <t>CAMP004</t>
  </si>
  <si>
    <t>CAMP005</t>
  </si>
  <si>
    <t>CAMP006</t>
  </si>
  <si>
    <t>CAMP007</t>
  </si>
  <si>
    <t>CAMP008</t>
  </si>
  <si>
    <t>CAMP009</t>
  </si>
  <si>
    <t>CAMP010</t>
  </si>
  <si>
    <t>CAMP011</t>
  </si>
  <si>
    <t>CAMP012</t>
  </si>
  <si>
    <t>CAMP013</t>
  </si>
  <si>
    <t>CAMP014</t>
  </si>
  <si>
    <t>CAMP015</t>
  </si>
  <si>
    <t>CAMP016</t>
  </si>
  <si>
    <t>CAMP017</t>
  </si>
  <si>
    <t>CAMP018</t>
  </si>
  <si>
    <t>CAMP019</t>
  </si>
  <si>
    <t>CAMP020</t>
  </si>
  <si>
    <t>CAMP021</t>
  </si>
  <si>
    <t>CAMP022</t>
  </si>
  <si>
    <t>CAMP023</t>
  </si>
  <si>
    <t>CAMP024</t>
  </si>
  <si>
    <t>CAMP025</t>
  </si>
  <si>
    <t>CAMP026</t>
  </si>
  <si>
    <t>CAMP027</t>
  </si>
  <si>
    <t>CAMP028</t>
  </si>
  <si>
    <t>CAMP029</t>
  </si>
  <si>
    <t>CAMP030</t>
  </si>
  <si>
    <t>CAMP031</t>
  </si>
  <si>
    <t>CAMP032</t>
  </si>
  <si>
    <t>CAMP033</t>
  </si>
  <si>
    <t>CAMP034</t>
  </si>
  <si>
    <t>CAMP035</t>
  </si>
  <si>
    <t>CAMP036</t>
  </si>
  <si>
    <t>CAMP037</t>
  </si>
  <si>
    <t>CAMP038</t>
  </si>
  <si>
    <t>CAMP039</t>
  </si>
  <si>
    <t>CAMP040</t>
  </si>
  <si>
    <t>CAMP041</t>
  </si>
  <si>
    <t>CAMP042</t>
  </si>
  <si>
    <t>CAMP043</t>
  </si>
  <si>
    <t>CAMP044</t>
  </si>
  <si>
    <t>CAMP045</t>
  </si>
  <si>
    <t>CAMP046</t>
  </si>
  <si>
    <t>CAMP047</t>
  </si>
  <si>
    <t>CAMP048</t>
  </si>
  <si>
    <t>CAMP049</t>
  </si>
  <si>
    <t>CAMP050</t>
  </si>
  <si>
    <t>Social Media</t>
  </si>
  <si>
    <t>Email</t>
  </si>
  <si>
    <t>TV</t>
  </si>
  <si>
    <t>Radio</t>
  </si>
  <si>
    <t>Which marketing channel yields the highest ROI?</t>
  </si>
  <si>
    <t>Is there a correlation between budget and conversions?</t>
  </si>
  <si>
    <t>Which campaigns had the highest engagement rate?</t>
  </si>
  <si>
    <t>What is the cost per conversion for each campaign?</t>
  </si>
  <si>
    <t>Row Labels</t>
  </si>
  <si>
    <t>Grand Total</t>
  </si>
  <si>
    <t>Max of ROI (%)</t>
  </si>
  <si>
    <t>Max of Engagement Rate (%)</t>
  </si>
  <si>
    <t>cost per conservation</t>
  </si>
  <si>
    <t>Sum of cost per conservation</t>
  </si>
  <si>
    <t>Arnav Agarwal</t>
  </si>
  <si>
    <t>NAME</t>
  </si>
  <si>
    <t>S.NO</t>
  </si>
  <si>
    <t>PRN</t>
  </si>
  <si>
    <t>Ayush Anand</t>
  </si>
  <si>
    <t>Devansh Sanghi</t>
  </si>
  <si>
    <t>Ashish Seth</t>
  </si>
  <si>
    <t>Yash Agarwal</t>
  </si>
  <si>
    <t>Vraj Sood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</si>
</sst>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Table'!$A$4:$A$8</c:f>
              <c:strCache>
                <c:ptCount val="4"/>
                <c:pt idx="0">
                  <c:v>Email</c:v>
                </c:pt>
                <c:pt idx="1">
                  <c:v>Radio</c:v>
                </c:pt>
                <c:pt idx="2">
                  <c:v>Social Media</c:v>
                </c:pt>
                <c:pt idx="3">
                  <c:v>TV</c:v>
                </c:pt>
              </c:strCache>
            </c:strRef>
          </c:cat>
          <c:val>
            <c:numRef>
              <c:f>'Pivot Table'!$B$4:$B$8</c:f>
              <c:numCache>
                <c:formatCode>General</c:formatCode>
                <c:ptCount val="4"/>
                <c:pt idx="0">
                  <c:v>195.5</c:v>
                </c:pt>
                <c:pt idx="1">
                  <c:v>188.35</c:v>
                </c:pt>
                <c:pt idx="2">
                  <c:v>195.17</c:v>
                </c:pt>
                <c:pt idx="3">
                  <c:v>195.71</c:v>
                </c:pt>
              </c:numCache>
            </c:numRef>
          </c:val>
          <c:extLst>
            <c:ext xmlns:c16="http://schemas.microsoft.com/office/drawing/2014/chart" uri="{C3380CC4-5D6E-409C-BE32-E72D297353CC}">
              <c16:uniqueId val="{00000000-888B-4C24-AB56-3A18D0AE0645}"/>
            </c:ext>
          </c:extLst>
        </c:ser>
        <c:dLbls>
          <c:dLblPos val="inEnd"/>
          <c:showLegendKey val="0"/>
          <c:showVal val="1"/>
          <c:showCatName val="0"/>
          <c:showSerName val="0"/>
          <c:showPercent val="0"/>
          <c:showBubbleSize val="0"/>
        </c:dLbls>
        <c:gapWidth val="100"/>
        <c:overlap val="-24"/>
        <c:axId val="1929942048"/>
        <c:axId val="1929954048"/>
      </c:barChart>
      <c:catAx>
        <c:axId val="1929942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954048"/>
        <c:crosses val="autoZero"/>
        <c:auto val="1"/>
        <c:lblAlgn val="ctr"/>
        <c:lblOffset val="100"/>
        <c:noMultiLvlLbl val="0"/>
      </c:catAx>
      <c:valAx>
        <c:axId val="1929954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94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Table!PivotTable2</c:name>
    <c:fmtId val="0"/>
  </c:pivotSource>
  <c:chart>
    <c:title>
      <c:layout>
        <c:manualLayout>
          <c:xMode val="edge"/>
          <c:yMode val="edge"/>
          <c:x val="0.51396288694002557"/>
          <c:y val="1.67997453745346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04022118733195"/>
          <c:y val="0.12059587894219725"/>
          <c:w val="0.76870445938504373"/>
          <c:h val="0.79786363699265184"/>
        </c:manualLayout>
      </c:layout>
      <c:barChart>
        <c:barDir val="bar"/>
        <c:grouping val="clustered"/>
        <c:varyColors val="0"/>
        <c:ser>
          <c:idx val="0"/>
          <c:order val="0"/>
          <c:tx>
            <c:strRef>
              <c:f>'Pivot Table'!$B$16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Table'!$A$17:$A$67</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Table'!$B$17:$B$67</c:f>
              <c:numCache>
                <c:formatCode>General</c:formatCode>
                <c:ptCount val="50"/>
                <c:pt idx="0">
                  <c:v>1.31</c:v>
                </c:pt>
                <c:pt idx="1">
                  <c:v>12.86</c:v>
                </c:pt>
                <c:pt idx="2">
                  <c:v>3.77</c:v>
                </c:pt>
                <c:pt idx="3">
                  <c:v>5.97</c:v>
                </c:pt>
                <c:pt idx="4">
                  <c:v>7.2</c:v>
                </c:pt>
                <c:pt idx="5">
                  <c:v>7.47</c:v>
                </c:pt>
                <c:pt idx="6">
                  <c:v>6.81</c:v>
                </c:pt>
                <c:pt idx="7">
                  <c:v>14.09</c:v>
                </c:pt>
                <c:pt idx="8">
                  <c:v>10.74</c:v>
                </c:pt>
                <c:pt idx="9">
                  <c:v>9.65</c:v>
                </c:pt>
                <c:pt idx="10">
                  <c:v>1.22</c:v>
                </c:pt>
                <c:pt idx="11">
                  <c:v>13.61</c:v>
                </c:pt>
                <c:pt idx="12">
                  <c:v>13.69</c:v>
                </c:pt>
                <c:pt idx="13">
                  <c:v>11.81</c:v>
                </c:pt>
                <c:pt idx="14">
                  <c:v>0.6</c:v>
                </c:pt>
                <c:pt idx="15">
                  <c:v>1.33</c:v>
                </c:pt>
                <c:pt idx="16">
                  <c:v>3.77</c:v>
                </c:pt>
                <c:pt idx="17">
                  <c:v>2.4</c:v>
                </c:pt>
                <c:pt idx="18">
                  <c:v>6.28</c:v>
                </c:pt>
                <c:pt idx="19">
                  <c:v>13.88</c:v>
                </c:pt>
                <c:pt idx="20">
                  <c:v>7.34</c:v>
                </c:pt>
                <c:pt idx="21">
                  <c:v>0.69</c:v>
                </c:pt>
                <c:pt idx="22">
                  <c:v>4.5999999999999996</c:v>
                </c:pt>
                <c:pt idx="23">
                  <c:v>1.1499999999999999</c:v>
                </c:pt>
                <c:pt idx="24">
                  <c:v>1.03</c:v>
                </c:pt>
                <c:pt idx="25">
                  <c:v>4.5</c:v>
                </c:pt>
                <c:pt idx="26">
                  <c:v>4.5</c:v>
                </c:pt>
                <c:pt idx="27">
                  <c:v>11.91</c:v>
                </c:pt>
                <c:pt idx="28">
                  <c:v>14.64</c:v>
                </c:pt>
                <c:pt idx="29">
                  <c:v>5.88</c:v>
                </c:pt>
                <c:pt idx="30">
                  <c:v>6.72</c:v>
                </c:pt>
                <c:pt idx="31">
                  <c:v>12.75</c:v>
                </c:pt>
                <c:pt idx="32">
                  <c:v>4.3899999999999997</c:v>
                </c:pt>
                <c:pt idx="33">
                  <c:v>2.77</c:v>
                </c:pt>
                <c:pt idx="34">
                  <c:v>12.87</c:v>
                </c:pt>
                <c:pt idx="35">
                  <c:v>1.17</c:v>
                </c:pt>
                <c:pt idx="36">
                  <c:v>9.49</c:v>
                </c:pt>
                <c:pt idx="37">
                  <c:v>8.65</c:v>
                </c:pt>
                <c:pt idx="38">
                  <c:v>5.52</c:v>
                </c:pt>
                <c:pt idx="39">
                  <c:v>5.07</c:v>
                </c:pt>
                <c:pt idx="40">
                  <c:v>11.69</c:v>
                </c:pt>
                <c:pt idx="41">
                  <c:v>1.75</c:v>
                </c:pt>
                <c:pt idx="42">
                  <c:v>3.93</c:v>
                </c:pt>
                <c:pt idx="43">
                  <c:v>11.12</c:v>
                </c:pt>
                <c:pt idx="44">
                  <c:v>8.4499999999999993</c:v>
                </c:pt>
                <c:pt idx="45">
                  <c:v>2.36</c:v>
                </c:pt>
                <c:pt idx="46">
                  <c:v>13.29</c:v>
                </c:pt>
                <c:pt idx="47">
                  <c:v>6.2</c:v>
                </c:pt>
                <c:pt idx="48">
                  <c:v>12.5</c:v>
                </c:pt>
                <c:pt idx="49">
                  <c:v>11.92</c:v>
                </c:pt>
              </c:numCache>
            </c:numRef>
          </c:val>
          <c:extLst>
            <c:ext xmlns:c16="http://schemas.microsoft.com/office/drawing/2014/chart" uri="{C3380CC4-5D6E-409C-BE32-E72D297353CC}">
              <c16:uniqueId val="{00000000-98AB-4208-95B1-2563FCE2FAD8}"/>
            </c:ext>
          </c:extLst>
        </c:ser>
        <c:dLbls>
          <c:dLblPos val="inEnd"/>
          <c:showLegendKey val="0"/>
          <c:showVal val="1"/>
          <c:showCatName val="0"/>
          <c:showSerName val="0"/>
          <c:showPercent val="0"/>
          <c:showBubbleSize val="0"/>
        </c:dLbls>
        <c:gapWidth val="115"/>
        <c:overlap val="-20"/>
        <c:axId val="684403616"/>
        <c:axId val="684401216"/>
      </c:barChart>
      <c:catAx>
        <c:axId val="684403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401216"/>
        <c:crosses val="autoZero"/>
        <c:auto val="1"/>
        <c:lblAlgn val="ctr"/>
        <c:lblOffset val="100"/>
        <c:noMultiLvlLbl val="0"/>
      </c:catAx>
      <c:valAx>
        <c:axId val="684401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40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Table!PivotTable5</c:name>
    <c:fmtId val="0"/>
  </c:pivotSource>
  <c:chart>
    <c:title>
      <c:layout>
        <c:manualLayout>
          <c:xMode val="edge"/>
          <c:yMode val="edge"/>
          <c:x val="0.51556092617135729"/>
          <c:y val="1.78499235342043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6725483571979"/>
          <c:y val="6.1165737977207008E-2"/>
          <c:w val="0.63447554204239331"/>
          <c:h val="0.89649200138027907"/>
        </c:manualLayout>
      </c:layout>
      <c:barChart>
        <c:barDir val="bar"/>
        <c:grouping val="clustered"/>
        <c:varyColors val="0"/>
        <c:ser>
          <c:idx val="0"/>
          <c:order val="0"/>
          <c:tx>
            <c:strRef>
              <c:f>'Pivot Table'!$B$78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Table'!$A$79:$A$129</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Table'!$B$79:$B$129</c:f>
              <c:numCache>
                <c:formatCode>General</c:formatCode>
                <c:ptCount val="50"/>
                <c:pt idx="0">
                  <c:v>3.436548223350254</c:v>
                </c:pt>
                <c:pt idx="1">
                  <c:v>6.2986601354271716</c:v>
                </c:pt>
                <c:pt idx="2">
                  <c:v>4.4382322408423551</c:v>
                </c:pt>
                <c:pt idx="3">
                  <c:v>5.3495934959349594</c:v>
                </c:pt>
                <c:pt idx="4">
                  <c:v>170.65517241379311</c:v>
                </c:pt>
                <c:pt idx="5">
                  <c:v>35.19047619047619</c:v>
                </c:pt>
                <c:pt idx="6">
                  <c:v>8.4366762177650436</c:v>
                </c:pt>
                <c:pt idx="7">
                  <c:v>8.1856650811874694</c:v>
                </c:pt>
                <c:pt idx="8">
                  <c:v>3.2415556244189649</c:v>
                </c:pt>
                <c:pt idx="9">
                  <c:v>18.423328964613368</c:v>
                </c:pt>
                <c:pt idx="10">
                  <c:v>4.9095925297113752</c:v>
                </c:pt>
                <c:pt idx="11">
                  <c:v>40.340093603744151</c:v>
                </c:pt>
                <c:pt idx="12">
                  <c:v>8.9804807518525216</c:v>
                </c:pt>
                <c:pt idx="13">
                  <c:v>8.7883689582129794</c:v>
                </c:pt>
                <c:pt idx="14">
                  <c:v>27.985522233712512</c:v>
                </c:pt>
                <c:pt idx="15">
                  <c:v>4.3391035194313883</c:v>
                </c:pt>
                <c:pt idx="16">
                  <c:v>8.5268450350152634</c:v>
                </c:pt>
                <c:pt idx="17">
                  <c:v>3.393171806167401</c:v>
                </c:pt>
                <c:pt idx="18">
                  <c:v>3.2363655506422404</c:v>
                </c:pt>
                <c:pt idx="19">
                  <c:v>34.897557131599683</c:v>
                </c:pt>
                <c:pt idx="20">
                  <c:v>5.1118279569892477</c:v>
                </c:pt>
                <c:pt idx="21">
                  <c:v>16.015990862364362</c:v>
                </c:pt>
                <c:pt idx="22">
                  <c:v>2.203883495145631</c:v>
                </c:pt>
                <c:pt idx="23">
                  <c:v>0.81649484536082473</c:v>
                </c:pt>
                <c:pt idx="24">
                  <c:v>1.1071061936808486</c:v>
                </c:pt>
                <c:pt idx="25">
                  <c:v>1.0286961946350592</c:v>
                </c:pt>
                <c:pt idx="26">
                  <c:v>17.012511170688114</c:v>
                </c:pt>
                <c:pt idx="27">
                  <c:v>3.6443694959715196</c:v>
                </c:pt>
                <c:pt idx="28">
                  <c:v>12.585683297180044</c:v>
                </c:pt>
                <c:pt idx="29">
                  <c:v>40.480895915678524</c:v>
                </c:pt>
                <c:pt idx="30">
                  <c:v>3.2824644549763033</c:v>
                </c:pt>
                <c:pt idx="31">
                  <c:v>4.60517836593786</c:v>
                </c:pt>
                <c:pt idx="32">
                  <c:v>5.7261320240043645</c:v>
                </c:pt>
                <c:pt idx="33">
                  <c:v>16.659775280898877</c:v>
                </c:pt>
                <c:pt idx="34">
                  <c:v>13.564949361514751</c:v>
                </c:pt>
                <c:pt idx="35">
                  <c:v>2.8284723882381066</c:v>
                </c:pt>
                <c:pt idx="36">
                  <c:v>11.85130215625875</c:v>
                </c:pt>
                <c:pt idx="37">
                  <c:v>4.107690622261174</c:v>
                </c:pt>
                <c:pt idx="38">
                  <c:v>4.13277428371768</c:v>
                </c:pt>
                <c:pt idx="39">
                  <c:v>3.0553975656921852</c:v>
                </c:pt>
                <c:pt idx="40">
                  <c:v>2.115553446434927</c:v>
                </c:pt>
                <c:pt idx="41">
                  <c:v>18.109695038689122</c:v>
                </c:pt>
                <c:pt idx="42">
                  <c:v>9.5261222910216716</c:v>
                </c:pt>
                <c:pt idx="43">
                  <c:v>3.4980760350931197</c:v>
                </c:pt>
                <c:pt idx="44">
                  <c:v>15.336016800840042</c:v>
                </c:pt>
                <c:pt idx="45">
                  <c:v>7.5982587064676617</c:v>
                </c:pt>
                <c:pt idx="46">
                  <c:v>5.4938450398262129</c:v>
                </c:pt>
                <c:pt idx="47">
                  <c:v>1.76</c:v>
                </c:pt>
                <c:pt idx="48">
                  <c:v>1.5059040590405903</c:v>
                </c:pt>
                <c:pt idx="49">
                  <c:v>5.0279999999999996</c:v>
                </c:pt>
              </c:numCache>
            </c:numRef>
          </c:val>
          <c:extLst>
            <c:ext xmlns:c16="http://schemas.microsoft.com/office/drawing/2014/chart" uri="{C3380CC4-5D6E-409C-BE32-E72D297353CC}">
              <c16:uniqueId val="{00000000-8D69-49F3-817F-A351F9C3BB03}"/>
            </c:ext>
          </c:extLst>
        </c:ser>
        <c:dLbls>
          <c:dLblPos val="inEnd"/>
          <c:showLegendKey val="0"/>
          <c:showVal val="1"/>
          <c:showCatName val="0"/>
          <c:showSerName val="0"/>
          <c:showPercent val="0"/>
          <c:showBubbleSize val="0"/>
        </c:dLbls>
        <c:gapWidth val="115"/>
        <c:overlap val="-20"/>
        <c:axId val="684368096"/>
        <c:axId val="684374336"/>
      </c:barChart>
      <c:catAx>
        <c:axId val="684368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374336"/>
        <c:crosses val="autoZero"/>
        <c:auto val="1"/>
        <c:lblAlgn val="ctr"/>
        <c:lblOffset val="100"/>
        <c:noMultiLvlLbl val="0"/>
      </c:catAx>
      <c:valAx>
        <c:axId val="684374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36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Table!PivotTable5</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Table'!$A$79:$A$129</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Table'!$B$79:$B$129</c:f>
              <c:numCache>
                <c:formatCode>General</c:formatCode>
                <c:ptCount val="50"/>
                <c:pt idx="0">
                  <c:v>3.436548223350254</c:v>
                </c:pt>
                <c:pt idx="1">
                  <c:v>6.2986601354271716</c:v>
                </c:pt>
                <c:pt idx="2">
                  <c:v>4.4382322408423551</c:v>
                </c:pt>
                <c:pt idx="3">
                  <c:v>5.3495934959349594</c:v>
                </c:pt>
                <c:pt idx="4">
                  <c:v>170.65517241379311</c:v>
                </c:pt>
                <c:pt idx="5">
                  <c:v>35.19047619047619</c:v>
                </c:pt>
                <c:pt idx="6">
                  <c:v>8.4366762177650436</c:v>
                </c:pt>
                <c:pt idx="7">
                  <c:v>8.1856650811874694</c:v>
                </c:pt>
                <c:pt idx="8">
                  <c:v>3.2415556244189649</c:v>
                </c:pt>
                <c:pt idx="9">
                  <c:v>18.423328964613368</c:v>
                </c:pt>
                <c:pt idx="10">
                  <c:v>4.9095925297113752</c:v>
                </c:pt>
                <c:pt idx="11">
                  <c:v>40.340093603744151</c:v>
                </c:pt>
                <c:pt idx="12">
                  <c:v>8.9804807518525216</c:v>
                </c:pt>
                <c:pt idx="13">
                  <c:v>8.7883689582129794</c:v>
                </c:pt>
                <c:pt idx="14">
                  <c:v>27.985522233712512</c:v>
                </c:pt>
                <c:pt idx="15">
                  <c:v>4.3391035194313883</c:v>
                </c:pt>
                <c:pt idx="16">
                  <c:v>8.5268450350152634</c:v>
                </c:pt>
                <c:pt idx="17">
                  <c:v>3.393171806167401</c:v>
                </c:pt>
                <c:pt idx="18">
                  <c:v>3.2363655506422404</c:v>
                </c:pt>
                <c:pt idx="19">
                  <c:v>34.897557131599683</c:v>
                </c:pt>
                <c:pt idx="20">
                  <c:v>5.1118279569892477</c:v>
                </c:pt>
                <c:pt idx="21">
                  <c:v>16.015990862364362</c:v>
                </c:pt>
                <c:pt idx="22">
                  <c:v>2.203883495145631</c:v>
                </c:pt>
                <c:pt idx="23">
                  <c:v>0.81649484536082473</c:v>
                </c:pt>
                <c:pt idx="24">
                  <c:v>1.1071061936808486</c:v>
                </c:pt>
                <c:pt idx="25">
                  <c:v>1.0286961946350592</c:v>
                </c:pt>
                <c:pt idx="26">
                  <c:v>17.012511170688114</c:v>
                </c:pt>
                <c:pt idx="27">
                  <c:v>3.6443694959715196</c:v>
                </c:pt>
                <c:pt idx="28">
                  <c:v>12.585683297180044</c:v>
                </c:pt>
                <c:pt idx="29">
                  <c:v>40.480895915678524</c:v>
                </c:pt>
                <c:pt idx="30">
                  <c:v>3.2824644549763033</c:v>
                </c:pt>
                <c:pt idx="31">
                  <c:v>4.60517836593786</c:v>
                </c:pt>
                <c:pt idx="32">
                  <c:v>5.7261320240043645</c:v>
                </c:pt>
                <c:pt idx="33">
                  <c:v>16.659775280898877</c:v>
                </c:pt>
                <c:pt idx="34">
                  <c:v>13.564949361514751</c:v>
                </c:pt>
                <c:pt idx="35">
                  <c:v>2.8284723882381066</c:v>
                </c:pt>
                <c:pt idx="36">
                  <c:v>11.85130215625875</c:v>
                </c:pt>
                <c:pt idx="37">
                  <c:v>4.107690622261174</c:v>
                </c:pt>
                <c:pt idx="38">
                  <c:v>4.13277428371768</c:v>
                </c:pt>
                <c:pt idx="39">
                  <c:v>3.0553975656921852</c:v>
                </c:pt>
                <c:pt idx="40">
                  <c:v>2.115553446434927</c:v>
                </c:pt>
                <c:pt idx="41">
                  <c:v>18.109695038689122</c:v>
                </c:pt>
                <c:pt idx="42">
                  <c:v>9.5261222910216716</c:v>
                </c:pt>
                <c:pt idx="43">
                  <c:v>3.4980760350931197</c:v>
                </c:pt>
                <c:pt idx="44">
                  <c:v>15.336016800840042</c:v>
                </c:pt>
                <c:pt idx="45">
                  <c:v>7.5982587064676617</c:v>
                </c:pt>
                <c:pt idx="46">
                  <c:v>5.4938450398262129</c:v>
                </c:pt>
                <c:pt idx="47">
                  <c:v>1.76</c:v>
                </c:pt>
                <c:pt idx="48">
                  <c:v>1.5059040590405903</c:v>
                </c:pt>
                <c:pt idx="49">
                  <c:v>5.0279999999999996</c:v>
                </c:pt>
              </c:numCache>
            </c:numRef>
          </c:val>
          <c:extLst>
            <c:ext xmlns:c16="http://schemas.microsoft.com/office/drawing/2014/chart" uri="{C3380CC4-5D6E-409C-BE32-E72D297353CC}">
              <c16:uniqueId val="{00000000-8CD8-4076-9C41-D6ABA6297AC6}"/>
            </c:ext>
          </c:extLst>
        </c:ser>
        <c:dLbls>
          <c:showLegendKey val="0"/>
          <c:showVal val="0"/>
          <c:showCatName val="0"/>
          <c:showSerName val="0"/>
          <c:showPercent val="0"/>
          <c:showBubbleSize val="0"/>
        </c:dLbls>
        <c:gapWidth val="115"/>
        <c:overlap val="-20"/>
        <c:axId val="202396831"/>
        <c:axId val="202416511"/>
      </c:barChart>
      <c:catAx>
        <c:axId val="2023968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16511"/>
        <c:crosses val="autoZero"/>
        <c:auto val="1"/>
        <c:lblAlgn val="ctr"/>
        <c:lblOffset val="100"/>
        <c:noMultiLvlLbl val="0"/>
      </c:catAx>
      <c:valAx>
        <c:axId val="20241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9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Table'!$A$17:$A$67</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Table'!$B$17:$B$67</c:f>
              <c:numCache>
                <c:formatCode>General</c:formatCode>
                <c:ptCount val="50"/>
                <c:pt idx="0">
                  <c:v>1.31</c:v>
                </c:pt>
                <c:pt idx="1">
                  <c:v>12.86</c:v>
                </c:pt>
                <c:pt idx="2">
                  <c:v>3.77</c:v>
                </c:pt>
                <c:pt idx="3">
                  <c:v>5.97</c:v>
                </c:pt>
                <c:pt idx="4">
                  <c:v>7.2</c:v>
                </c:pt>
                <c:pt idx="5">
                  <c:v>7.47</c:v>
                </c:pt>
                <c:pt idx="6">
                  <c:v>6.81</c:v>
                </c:pt>
                <c:pt idx="7">
                  <c:v>14.09</c:v>
                </c:pt>
                <c:pt idx="8">
                  <c:v>10.74</c:v>
                </c:pt>
                <c:pt idx="9">
                  <c:v>9.65</c:v>
                </c:pt>
                <c:pt idx="10">
                  <c:v>1.22</c:v>
                </c:pt>
                <c:pt idx="11">
                  <c:v>13.61</c:v>
                </c:pt>
                <c:pt idx="12">
                  <c:v>13.69</c:v>
                </c:pt>
                <c:pt idx="13">
                  <c:v>11.81</c:v>
                </c:pt>
                <c:pt idx="14">
                  <c:v>0.6</c:v>
                </c:pt>
                <c:pt idx="15">
                  <c:v>1.33</c:v>
                </c:pt>
                <c:pt idx="16">
                  <c:v>3.77</c:v>
                </c:pt>
                <c:pt idx="17">
                  <c:v>2.4</c:v>
                </c:pt>
                <c:pt idx="18">
                  <c:v>6.28</c:v>
                </c:pt>
                <c:pt idx="19">
                  <c:v>13.88</c:v>
                </c:pt>
                <c:pt idx="20">
                  <c:v>7.34</c:v>
                </c:pt>
                <c:pt idx="21">
                  <c:v>0.69</c:v>
                </c:pt>
                <c:pt idx="22">
                  <c:v>4.5999999999999996</c:v>
                </c:pt>
                <c:pt idx="23">
                  <c:v>1.1499999999999999</c:v>
                </c:pt>
                <c:pt idx="24">
                  <c:v>1.03</c:v>
                </c:pt>
                <c:pt idx="25">
                  <c:v>4.5</c:v>
                </c:pt>
                <c:pt idx="26">
                  <c:v>4.5</c:v>
                </c:pt>
                <c:pt idx="27">
                  <c:v>11.91</c:v>
                </c:pt>
                <c:pt idx="28">
                  <c:v>14.64</c:v>
                </c:pt>
                <c:pt idx="29">
                  <c:v>5.88</c:v>
                </c:pt>
                <c:pt idx="30">
                  <c:v>6.72</c:v>
                </c:pt>
                <c:pt idx="31">
                  <c:v>12.75</c:v>
                </c:pt>
                <c:pt idx="32">
                  <c:v>4.3899999999999997</c:v>
                </c:pt>
                <c:pt idx="33">
                  <c:v>2.77</c:v>
                </c:pt>
                <c:pt idx="34">
                  <c:v>12.87</c:v>
                </c:pt>
                <c:pt idx="35">
                  <c:v>1.17</c:v>
                </c:pt>
                <c:pt idx="36">
                  <c:v>9.49</c:v>
                </c:pt>
                <c:pt idx="37">
                  <c:v>8.65</c:v>
                </c:pt>
                <c:pt idx="38">
                  <c:v>5.52</c:v>
                </c:pt>
                <c:pt idx="39">
                  <c:v>5.07</c:v>
                </c:pt>
                <c:pt idx="40">
                  <c:v>11.69</c:v>
                </c:pt>
                <c:pt idx="41">
                  <c:v>1.75</c:v>
                </c:pt>
                <c:pt idx="42">
                  <c:v>3.93</c:v>
                </c:pt>
                <c:pt idx="43">
                  <c:v>11.12</c:v>
                </c:pt>
                <c:pt idx="44">
                  <c:v>8.4499999999999993</c:v>
                </c:pt>
                <c:pt idx="45">
                  <c:v>2.36</c:v>
                </c:pt>
                <c:pt idx="46">
                  <c:v>13.29</c:v>
                </c:pt>
                <c:pt idx="47">
                  <c:v>6.2</c:v>
                </c:pt>
                <c:pt idx="48">
                  <c:v>12.5</c:v>
                </c:pt>
                <c:pt idx="49">
                  <c:v>11.92</c:v>
                </c:pt>
              </c:numCache>
            </c:numRef>
          </c:val>
          <c:extLst>
            <c:ext xmlns:c16="http://schemas.microsoft.com/office/drawing/2014/chart" uri="{C3380CC4-5D6E-409C-BE32-E72D297353CC}">
              <c16:uniqueId val="{00000000-02B9-4BD0-A844-9B085A5BB21F}"/>
            </c:ext>
          </c:extLst>
        </c:ser>
        <c:dLbls>
          <c:showLegendKey val="0"/>
          <c:showVal val="0"/>
          <c:showCatName val="0"/>
          <c:showSerName val="0"/>
          <c:showPercent val="0"/>
          <c:showBubbleSize val="0"/>
        </c:dLbls>
        <c:gapWidth val="115"/>
        <c:overlap val="-20"/>
        <c:axId val="202416031"/>
        <c:axId val="202403551"/>
      </c:barChart>
      <c:catAx>
        <c:axId val="202416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03551"/>
        <c:crosses val="autoZero"/>
        <c:auto val="1"/>
        <c:lblAlgn val="ctr"/>
        <c:lblOffset val="100"/>
        <c:noMultiLvlLbl val="0"/>
      </c:catAx>
      <c:valAx>
        <c:axId val="2024035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1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Table!PivotTable1</c:name>
    <c:fmtId val="1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Table'!$A$4:$A$8</c:f>
              <c:strCache>
                <c:ptCount val="4"/>
                <c:pt idx="0">
                  <c:v>Email</c:v>
                </c:pt>
                <c:pt idx="1">
                  <c:v>Radio</c:v>
                </c:pt>
                <c:pt idx="2">
                  <c:v>Social Media</c:v>
                </c:pt>
                <c:pt idx="3">
                  <c:v>TV</c:v>
                </c:pt>
              </c:strCache>
            </c:strRef>
          </c:cat>
          <c:val>
            <c:numRef>
              <c:f>'Pivot Table'!$B$4:$B$8</c:f>
              <c:numCache>
                <c:formatCode>General</c:formatCode>
                <c:ptCount val="4"/>
                <c:pt idx="0">
                  <c:v>195.5</c:v>
                </c:pt>
                <c:pt idx="1">
                  <c:v>188.35</c:v>
                </c:pt>
                <c:pt idx="2">
                  <c:v>195.17</c:v>
                </c:pt>
                <c:pt idx="3">
                  <c:v>195.71</c:v>
                </c:pt>
              </c:numCache>
            </c:numRef>
          </c:val>
          <c:extLst>
            <c:ext xmlns:c16="http://schemas.microsoft.com/office/drawing/2014/chart" uri="{C3380CC4-5D6E-409C-BE32-E72D297353CC}">
              <c16:uniqueId val="{00000000-866C-41BD-A349-38000D3AC625}"/>
            </c:ext>
          </c:extLst>
        </c:ser>
        <c:dLbls>
          <c:showLegendKey val="0"/>
          <c:showVal val="0"/>
          <c:showCatName val="0"/>
          <c:showSerName val="0"/>
          <c:showPercent val="0"/>
          <c:showBubbleSize val="0"/>
        </c:dLbls>
        <c:gapWidth val="100"/>
        <c:overlap val="-24"/>
        <c:axId val="2112954064"/>
        <c:axId val="2112956464"/>
      </c:barChart>
      <c:catAx>
        <c:axId val="2112954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956464"/>
        <c:crosses val="autoZero"/>
        <c:auto val="1"/>
        <c:lblAlgn val="ctr"/>
        <c:lblOffset val="100"/>
        <c:noMultiLvlLbl val="0"/>
      </c:catAx>
      <c:valAx>
        <c:axId val="2112956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95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Table!PivotTable5</c:name>
    <c:fmtId val="1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Table'!$A$79:$A$129</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Table'!$B$79:$B$129</c:f>
              <c:numCache>
                <c:formatCode>General</c:formatCode>
                <c:ptCount val="50"/>
                <c:pt idx="0">
                  <c:v>3.436548223350254</c:v>
                </c:pt>
                <c:pt idx="1">
                  <c:v>6.2986601354271716</c:v>
                </c:pt>
                <c:pt idx="2">
                  <c:v>4.4382322408423551</c:v>
                </c:pt>
                <c:pt idx="3">
                  <c:v>5.3495934959349594</c:v>
                </c:pt>
                <c:pt idx="4">
                  <c:v>170.65517241379311</c:v>
                </c:pt>
                <c:pt idx="5">
                  <c:v>35.19047619047619</c:v>
                </c:pt>
                <c:pt idx="6">
                  <c:v>8.4366762177650436</c:v>
                </c:pt>
                <c:pt idx="7">
                  <c:v>8.1856650811874694</c:v>
                </c:pt>
                <c:pt idx="8">
                  <c:v>3.2415556244189649</c:v>
                </c:pt>
                <c:pt idx="9">
                  <c:v>18.423328964613368</c:v>
                </c:pt>
                <c:pt idx="10">
                  <c:v>4.9095925297113752</c:v>
                </c:pt>
                <c:pt idx="11">
                  <c:v>40.340093603744151</c:v>
                </c:pt>
                <c:pt idx="12">
                  <c:v>8.9804807518525216</c:v>
                </c:pt>
                <c:pt idx="13">
                  <c:v>8.7883689582129794</c:v>
                </c:pt>
                <c:pt idx="14">
                  <c:v>27.985522233712512</c:v>
                </c:pt>
                <c:pt idx="15">
                  <c:v>4.3391035194313883</c:v>
                </c:pt>
                <c:pt idx="16">
                  <c:v>8.5268450350152634</c:v>
                </c:pt>
                <c:pt idx="17">
                  <c:v>3.393171806167401</c:v>
                </c:pt>
                <c:pt idx="18">
                  <c:v>3.2363655506422404</c:v>
                </c:pt>
                <c:pt idx="19">
                  <c:v>34.897557131599683</c:v>
                </c:pt>
                <c:pt idx="20">
                  <c:v>5.1118279569892477</c:v>
                </c:pt>
                <c:pt idx="21">
                  <c:v>16.015990862364362</c:v>
                </c:pt>
                <c:pt idx="22">
                  <c:v>2.203883495145631</c:v>
                </c:pt>
                <c:pt idx="23">
                  <c:v>0.81649484536082473</c:v>
                </c:pt>
                <c:pt idx="24">
                  <c:v>1.1071061936808486</c:v>
                </c:pt>
                <c:pt idx="25">
                  <c:v>1.0286961946350592</c:v>
                </c:pt>
                <c:pt idx="26">
                  <c:v>17.012511170688114</c:v>
                </c:pt>
                <c:pt idx="27">
                  <c:v>3.6443694959715196</c:v>
                </c:pt>
                <c:pt idx="28">
                  <c:v>12.585683297180044</c:v>
                </c:pt>
                <c:pt idx="29">
                  <c:v>40.480895915678524</c:v>
                </c:pt>
                <c:pt idx="30">
                  <c:v>3.2824644549763033</c:v>
                </c:pt>
                <c:pt idx="31">
                  <c:v>4.60517836593786</c:v>
                </c:pt>
                <c:pt idx="32">
                  <c:v>5.7261320240043645</c:v>
                </c:pt>
                <c:pt idx="33">
                  <c:v>16.659775280898877</c:v>
                </c:pt>
                <c:pt idx="34">
                  <c:v>13.564949361514751</c:v>
                </c:pt>
                <c:pt idx="35">
                  <c:v>2.8284723882381066</c:v>
                </c:pt>
                <c:pt idx="36">
                  <c:v>11.85130215625875</c:v>
                </c:pt>
                <c:pt idx="37">
                  <c:v>4.107690622261174</c:v>
                </c:pt>
                <c:pt idx="38">
                  <c:v>4.13277428371768</c:v>
                </c:pt>
                <c:pt idx="39">
                  <c:v>3.0553975656921852</c:v>
                </c:pt>
                <c:pt idx="40">
                  <c:v>2.115553446434927</c:v>
                </c:pt>
                <c:pt idx="41">
                  <c:v>18.109695038689122</c:v>
                </c:pt>
                <c:pt idx="42">
                  <c:v>9.5261222910216716</c:v>
                </c:pt>
                <c:pt idx="43">
                  <c:v>3.4980760350931197</c:v>
                </c:pt>
                <c:pt idx="44">
                  <c:v>15.336016800840042</c:v>
                </c:pt>
                <c:pt idx="45">
                  <c:v>7.5982587064676617</c:v>
                </c:pt>
                <c:pt idx="46">
                  <c:v>5.4938450398262129</c:v>
                </c:pt>
                <c:pt idx="47">
                  <c:v>1.76</c:v>
                </c:pt>
                <c:pt idx="48">
                  <c:v>1.5059040590405903</c:v>
                </c:pt>
                <c:pt idx="49">
                  <c:v>5.0279999999999996</c:v>
                </c:pt>
              </c:numCache>
            </c:numRef>
          </c:val>
          <c:extLst>
            <c:ext xmlns:c16="http://schemas.microsoft.com/office/drawing/2014/chart" uri="{C3380CC4-5D6E-409C-BE32-E72D297353CC}">
              <c16:uniqueId val="{00000000-4869-44B5-898F-0A9DD9FCC2B3}"/>
            </c:ext>
          </c:extLst>
        </c:ser>
        <c:dLbls>
          <c:showLegendKey val="0"/>
          <c:showVal val="0"/>
          <c:showCatName val="0"/>
          <c:showSerName val="0"/>
          <c:showPercent val="0"/>
          <c:showBubbleSize val="0"/>
        </c:dLbls>
        <c:gapWidth val="115"/>
        <c:overlap val="-20"/>
        <c:axId val="202396831"/>
        <c:axId val="202416511"/>
      </c:barChart>
      <c:catAx>
        <c:axId val="2023968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16511"/>
        <c:crosses val="autoZero"/>
        <c:auto val="1"/>
        <c:lblAlgn val="ctr"/>
        <c:lblOffset val="100"/>
        <c:noMultiLvlLbl val="0"/>
      </c:catAx>
      <c:valAx>
        <c:axId val="20241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9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Table!PivotTable2</c:name>
    <c:fmtId val="1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Table'!$A$17:$A$67</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Table'!$B$17:$B$67</c:f>
              <c:numCache>
                <c:formatCode>General</c:formatCode>
                <c:ptCount val="50"/>
                <c:pt idx="0">
                  <c:v>1.31</c:v>
                </c:pt>
                <c:pt idx="1">
                  <c:v>12.86</c:v>
                </c:pt>
                <c:pt idx="2">
                  <c:v>3.77</c:v>
                </c:pt>
                <c:pt idx="3">
                  <c:v>5.97</c:v>
                </c:pt>
                <c:pt idx="4">
                  <c:v>7.2</c:v>
                </c:pt>
                <c:pt idx="5">
                  <c:v>7.47</c:v>
                </c:pt>
                <c:pt idx="6">
                  <c:v>6.81</c:v>
                </c:pt>
                <c:pt idx="7">
                  <c:v>14.09</c:v>
                </c:pt>
                <c:pt idx="8">
                  <c:v>10.74</c:v>
                </c:pt>
                <c:pt idx="9">
                  <c:v>9.65</c:v>
                </c:pt>
                <c:pt idx="10">
                  <c:v>1.22</c:v>
                </c:pt>
                <c:pt idx="11">
                  <c:v>13.61</c:v>
                </c:pt>
                <c:pt idx="12">
                  <c:v>13.69</c:v>
                </c:pt>
                <c:pt idx="13">
                  <c:v>11.81</c:v>
                </c:pt>
                <c:pt idx="14">
                  <c:v>0.6</c:v>
                </c:pt>
                <c:pt idx="15">
                  <c:v>1.33</c:v>
                </c:pt>
                <c:pt idx="16">
                  <c:v>3.77</c:v>
                </c:pt>
                <c:pt idx="17">
                  <c:v>2.4</c:v>
                </c:pt>
                <c:pt idx="18">
                  <c:v>6.28</c:v>
                </c:pt>
                <c:pt idx="19">
                  <c:v>13.88</c:v>
                </c:pt>
                <c:pt idx="20">
                  <c:v>7.34</c:v>
                </c:pt>
                <c:pt idx="21">
                  <c:v>0.69</c:v>
                </c:pt>
                <c:pt idx="22">
                  <c:v>4.5999999999999996</c:v>
                </c:pt>
                <c:pt idx="23">
                  <c:v>1.1499999999999999</c:v>
                </c:pt>
                <c:pt idx="24">
                  <c:v>1.03</c:v>
                </c:pt>
                <c:pt idx="25">
                  <c:v>4.5</c:v>
                </c:pt>
                <c:pt idx="26">
                  <c:v>4.5</c:v>
                </c:pt>
                <c:pt idx="27">
                  <c:v>11.91</c:v>
                </c:pt>
                <c:pt idx="28">
                  <c:v>14.64</c:v>
                </c:pt>
                <c:pt idx="29">
                  <c:v>5.88</c:v>
                </c:pt>
                <c:pt idx="30">
                  <c:v>6.72</c:v>
                </c:pt>
                <c:pt idx="31">
                  <c:v>12.75</c:v>
                </c:pt>
                <c:pt idx="32">
                  <c:v>4.3899999999999997</c:v>
                </c:pt>
                <c:pt idx="33">
                  <c:v>2.77</c:v>
                </c:pt>
                <c:pt idx="34">
                  <c:v>12.87</c:v>
                </c:pt>
                <c:pt idx="35">
                  <c:v>1.17</c:v>
                </c:pt>
                <c:pt idx="36">
                  <c:v>9.49</c:v>
                </c:pt>
                <c:pt idx="37">
                  <c:v>8.65</c:v>
                </c:pt>
                <c:pt idx="38">
                  <c:v>5.52</c:v>
                </c:pt>
                <c:pt idx="39">
                  <c:v>5.07</c:v>
                </c:pt>
                <c:pt idx="40">
                  <c:v>11.69</c:v>
                </c:pt>
                <c:pt idx="41">
                  <c:v>1.75</c:v>
                </c:pt>
                <c:pt idx="42">
                  <c:v>3.93</c:v>
                </c:pt>
                <c:pt idx="43">
                  <c:v>11.12</c:v>
                </c:pt>
                <c:pt idx="44">
                  <c:v>8.4499999999999993</c:v>
                </c:pt>
                <c:pt idx="45">
                  <c:v>2.36</c:v>
                </c:pt>
                <c:pt idx="46">
                  <c:v>13.29</c:v>
                </c:pt>
                <c:pt idx="47">
                  <c:v>6.2</c:v>
                </c:pt>
                <c:pt idx="48">
                  <c:v>12.5</c:v>
                </c:pt>
                <c:pt idx="49">
                  <c:v>11.92</c:v>
                </c:pt>
              </c:numCache>
            </c:numRef>
          </c:val>
          <c:extLst>
            <c:ext xmlns:c16="http://schemas.microsoft.com/office/drawing/2014/chart" uri="{C3380CC4-5D6E-409C-BE32-E72D297353CC}">
              <c16:uniqueId val="{00000000-7951-445C-84BD-029D2B3F15A1}"/>
            </c:ext>
          </c:extLst>
        </c:ser>
        <c:dLbls>
          <c:showLegendKey val="0"/>
          <c:showVal val="0"/>
          <c:showCatName val="0"/>
          <c:showSerName val="0"/>
          <c:showPercent val="0"/>
          <c:showBubbleSize val="0"/>
        </c:dLbls>
        <c:gapWidth val="115"/>
        <c:overlap val="-20"/>
        <c:axId val="202416031"/>
        <c:axId val="202403551"/>
      </c:barChart>
      <c:catAx>
        <c:axId val="202416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03551"/>
        <c:crosses val="autoZero"/>
        <c:auto val="1"/>
        <c:lblAlgn val="ctr"/>
        <c:lblOffset val="100"/>
        <c:noMultiLvlLbl val="0"/>
      </c:catAx>
      <c:valAx>
        <c:axId val="2024035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1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Table!PivotTable1</c:name>
    <c:fmtId val="2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Table'!$A$4:$A$8</c:f>
              <c:strCache>
                <c:ptCount val="4"/>
                <c:pt idx="0">
                  <c:v>Email</c:v>
                </c:pt>
                <c:pt idx="1">
                  <c:v>Radio</c:v>
                </c:pt>
                <c:pt idx="2">
                  <c:v>Social Media</c:v>
                </c:pt>
                <c:pt idx="3">
                  <c:v>TV</c:v>
                </c:pt>
              </c:strCache>
            </c:strRef>
          </c:cat>
          <c:val>
            <c:numRef>
              <c:f>'Pivot Table'!$B$4:$B$8</c:f>
              <c:numCache>
                <c:formatCode>General</c:formatCode>
                <c:ptCount val="4"/>
                <c:pt idx="0">
                  <c:v>195.5</c:v>
                </c:pt>
                <c:pt idx="1">
                  <c:v>188.35</c:v>
                </c:pt>
                <c:pt idx="2">
                  <c:v>195.17</c:v>
                </c:pt>
                <c:pt idx="3">
                  <c:v>195.71</c:v>
                </c:pt>
              </c:numCache>
            </c:numRef>
          </c:val>
          <c:extLst>
            <c:ext xmlns:c16="http://schemas.microsoft.com/office/drawing/2014/chart" uri="{C3380CC4-5D6E-409C-BE32-E72D297353CC}">
              <c16:uniqueId val="{00000000-06B9-4A77-BA93-D7EA27DFE954}"/>
            </c:ext>
          </c:extLst>
        </c:ser>
        <c:dLbls>
          <c:showLegendKey val="0"/>
          <c:showVal val="0"/>
          <c:showCatName val="0"/>
          <c:showSerName val="0"/>
          <c:showPercent val="0"/>
          <c:showBubbleSize val="0"/>
        </c:dLbls>
        <c:gapWidth val="100"/>
        <c:overlap val="-24"/>
        <c:axId val="2112954064"/>
        <c:axId val="2112956464"/>
      </c:barChart>
      <c:catAx>
        <c:axId val="2112954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956464"/>
        <c:crosses val="autoZero"/>
        <c:auto val="1"/>
        <c:lblAlgn val="ctr"/>
        <c:lblOffset val="100"/>
        <c:noMultiLvlLbl val="0"/>
      </c:catAx>
      <c:valAx>
        <c:axId val="2112956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95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Table!PivotTable2</c:name>
    <c:fmtId val="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798730581849"/>
          <c:y val="0.10936652010025796"/>
          <c:w val="0.76870445938504373"/>
          <c:h val="0.79786363699265184"/>
        </c:manualLayout>
      </c:layout>
      <c:barChart>
        <c:barDir val="bar"/>
        <c:grouping val="clustered"/>
        <c:varyColors val="0"/>
        <c:ser>
          <c:idx val="0"/>
          <c:order val="0"/>
          <c:tx>
            <c:strRef>
              <c:f>'Pivot Table'!$B$16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Table'!$A$17:$A$67</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Table'!$B$17:$B$67</c:f>
              <c:numCache>
                <c:formatCode>General</c:formatCode>
                <c:ptCount val="50"/>
                <c:pt idx="0">
                  <c:v>1.31</c:v>
                </c:pt>
                <c:pt idx="1">
                  <c:v>12.86</c:v>
                </c:pt>
                <c:pt idx="2">
                  <c:v>3.77</c:v>
                </c:pt>
                <c:pt idx="3">
                  <c:v>5.97</c:v>
                </c:pt>
                <c:pt idx="4">
                  <c:v>7.2</c:v>
                </c:pt>
                <c:pt idx="5">
                  <c:v>7.47</c:v>
                </c:pt>
                <c:pt idx="6">
                  <c:v>6.81</c:v>
                </c:pt>
                <c:pt idx="7">
                  <c:v>14.09</c:v>
                </c:pt>
                <c:pt idx="8">
                  <c:v>10.74</c:v>
                </c:pt>
                <c:pt idx="9">
                  <c:v>9.65</c:v>
                </c:pt>
                <c:pt idx="10">
                  <c:v>1.22</c:v>
                </c:pt>
                <c:pt idx="11">
                  <c:v>13.61</c:v>
                </c:pt>
                <c:pt idx="12">
                  <c:v>13.69</c:v>
                </c:pt>
                <c:pt idx="13">
                  <c:v>11.81</c:v>
                </c:pt>
                <c:pt idx="14">
                  <c:v>0.6</c:v>
                </c:pt>
                <c:pt idx="15">
                  <c:v>1.33</c:v>
                </c:pt>
                <c:pt idx="16">
                  <c:v>3.77</c:v>
                </c:pt>
                <c:pt idx="17">
                  <c:v>2.4</c:v>
                </c:pt>
                <c:pt idx="18">
                  <c:v>6.28</c:v>
                </c:pt>
                <c:pt idx="19">
                  <c:v>13.88</c:v>
                </c:pt>
                <c:pt idx="20">
                  <c:v>7.34</c:v>
                </c:pt>
                <c:pt idx="21">
                  <c:v>0.69</c:v>
                </c:pt>
                <c:pt idx="22">
                  <c:v>4.5999999999999996</c:v>
                </c:pt>
                <c:pt idx="23">
                  <c:v>1.1499999999999999</c:v>
                </c:pt>
                <c:pt idx="24">
                  <c:v>1.03</c:v>
                </c:pt>
                <c:pt idx="25">
                  <c:v>4.5</c:v>
                </c:pt>
                <c:pt idx="26">
                  <c:v>4.5</c:v>
                </c:pt>
                <c:pt idx="27">
                  <c:v>11.91</c:v>
                </c:pt>
                <c:pt idx="28">
                  <c:v>14.64</c:v>
                </c:pt>
                <c:pt idx="29">
                  <c:v>5.88</c:v>
                </c:pt>
                <c:pt idx="30">
                  <c:v>6.72</c:v>
                </c:pt>
                <c:pt idx="31">
                  <c:v>12.75</c:v>
                </c:pt>
                <c:pt idx="32">
                  <c:v>4.3899999999999997</c:v>
                </c:pt>
                <c:pt idx="33">
                  <c:v>2.77</c:v>
                </c:pt>
                <c:pt idx="34">
                  <c:v>12.87</c:v>
                </c:pt>
                <c:pt idx="35">
                  <c:v>1.17</c:v>
                </c:pt>
                <c:pt idx="36">
                  <c:v>9.49</c:v>
                </c:pt>
                <c:pt idx="37">
                  <c:v>8.65</c:v>
                </c:pt>
                <c:pt idx="38">
                  <c:v>5.52</c:v>
                </c:pt>
                <c:pt idx="39">
                  <c:v>5.07</c:v>
                </c:pt>
                <c:pt idx="40">
                  <c:v>11.69</c:v>
                </c:pt>
                <c:pt idx="41">
                  <c:v>1.75</c:v>
                </c:pt>
                <c:pt idx="42">
                  <c:v>3.93</c:v>
                </c:pt>
                <c:pt idx="43">
                  <c:v>11.12</c:v>
                </c:pt>
                <c:pt idx="44">
                  <c:v>8.4499999999999993</c:v>
                </c:pt>
                <c:pt idx="45">
                  <c:v>2.36</c:v>
                </c:pt>
                <c:pt idx="46">
                  <c:v>13.29</c:v>
                </c:pt>
                <c:pt idx="47">
                  <c:v>6.2</c:v>
                </c:pt>
                <c:pt idx="48">
                  <c:v>12.5</c:v>
                </c:pt>
                <c:pt idx="49">
                  <c:v>11.92</c:v>
                </c:pt>
              </c:numCache>
            </c:numRef>
          </c:val>
          <c:extLst>
            <c:ext xmlns:c16="http://schemas.microsoft.com/office/drawing/2014/chart" uri="{C3380CC4-5D6E-409C-BE32-E72D297353CC}">
              <c16:uniqueId val="{00000000-EAB9-425B-90E7-08601CF4980C}"/>
            </c:ext>
          </c:extLst>
        </c:ser>
        <c:dLbls>
          <c:dLblPos val="inEnd"/>
          <c:showLegendKey val="0"/>
          <c:showVal val="1"/>
          <c:showCatName val="0"/>
          <c:showSerName val="0"/>
          <c:showPercent val="0"/>
          <c:showBubbleSize val="0"/>
        </c:dLbls>
        <c:gapWidth val="115"/>
        <c:overlap val="-20"/>
        <c:axId val="684403616"/>
        <c:axId val="684401216"/>
      </c:barChart>
      <c:catAx>
        <c:axId val="684403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401216"/>
        <c:crosses val="autoZero"/>
        <c:auto val="1"/>
        <c:lblAlgn val="ctr"/>
        <c:lblOffset val="100"/>
        <c:noMultiLvlLbl val="0"/>
      </c:catAx>
      <c:valAx>
        <c:axId val="684401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40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Table!PivotTable1</c:name>
    <c:fmtId val="1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'Pivot Table'!$A$4:$A$8</c:f>
              <c:strCache>
                <c:ptCount val="4"/>
                <c:pt idx="0">
                  <c:v>Email</c:v>
                </c:pt>
                <c:pt idx="1">
                  <c:v>Radio</c:v>
                </c:pt>
                <c:pt idx="2">
                  <c:v>Social Media</c:v>
                </c:pt>
                <c:pt idx="3">
                  <c:v>TV</c:v>
                </c:pt>
              </c:strCache>
            </c:strRef>
          </c:cat>
          <c:val>
            <c:numRef>
              <c:f>'Pivot Table'!$B$4:$B$8</c:f>
              <c:numCache>
                <c:formatCode>General</c:formatCode>
                <c:ptCount val="4"/>
                <c:pt idx="0">
                  <c:v>195.5</c:v>
                </c:pt>
                <c:pt idx="1">
                  <c:v>188.35</c:v>
                </c:pt>
                <c:pt idx="2">
                  <c:v>195.17</c:v>
                </c:pt>
                <c:pt idx="3">
                  <c:v>195.71</c:v>
                </c:pt>
              </c:numCache>
            </c:numRef>
          </c:val>
          <c:extLst>
            <c:ext xmlns:c16="http://schemas.microsoft.com/office/drawing/2014/chart" uri="{C3380CC4-5D6E-409C-BE32-E72D297353CC}">
              <c16:uniqueId val="{00000000-9657-454E-ADB9-0D40598D64BA}"/>
            </c:ext>
          </c:extLst>
        </c:ser>
        <c:dLbls>
          <c:dLblPos val="inEnd"/>
          <c:showLegendKey val="0"/>
          <c:showVal val="1"/>
          <c:showCatName val="0"/>
          <c:showSerName val="0"/>
          <c:showPercent val="0"/>
          <c:showBubbleSize val="0"/>
        </c:dLbls>
        <c:gapWidth val="100"/>
        <c:overlap val="-24"/>
        <c:axId val="1929942048"/>
        <c:axId val="1929954048"/>
      </c:barChart>
      <c:catAx>
        <c:axId val="1929942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954048"/>
        <c:crosses val="autoZero"/>
        <c:auto val="1"/>
        <c:lblAlgn val="ctr"/>
        <c:lblOffset val="100"/>
        <c:noMultiLvlLbl val="0"/>
      </c:catAx>
      <c:valAx>
        <c:axId val="1929954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94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Table!PivotTable5</c:name>
    <c:fmtId val="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6725483571979"/>
          <c:y val="6.1165737977207008E-2"/>
          <c:w val="0.63447554204239331"/>
          <c:h val="0.89649200138027907"/>
        </c:manualLayout>
      </c:layout>
      <c:barChart>
        <c:barDir val="bar"/>
        <c:grouping val="clustered"/>
        <c:varyColors val="0"/>
        <c:ser>
          <c:idx val="0"/>
          <c:order val="0"/>
          <c:tx>
            <c:strRef>
              <c:f>'Pivot Table'!$B$78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Table'!$A$79:$A$129</c:f>
              <c:strCache>
                <c:ptCount val="50"/>
                <c:pt idx="0">
                  <c:v>CAMP001</c:v>
                </c:pt>
                <c:pt idx="1">
                  <c:v>CAMP002</c:v>
                </c:pt>
                <c:pt idx="2">
                  <c:v>CAMP003</c:v>
                </c:pt>
                <c:pt idx="3">
                  <c:v>CAMP004</c:v>
                </c:pt>
                <c:pt idx="4">
                  <c:v>CAMP005</c:v>
                </c:pt>
                <c:pt idx="5">
                  <c:v>CAMP006</c:v>
                </c:pt>
                <c:pt idx="6">
                  <c:v>CAMP007</c:v>
                </c:pt>
                <c:pt idx="7">
                  <c:v>CAMP008</c:v>
                </c:pt>
                <c:pt idx="8">
                  <c:v>CAMP009</c:v>
                </c:pt>
                <c:pt idx="9">
                  <c:v>CAMP010</c:v>
                </c:pt>
                <c:pt idx="10">
                  <c:v>CAMP011</c:v>
                </c:pt>
                <c:pt idx="11">
                  <c:v>CAMP012</c:v>
                </c:pt>
                <c:pt idx="12">
                  <c:v>CAMP013</c:v>
                </c:pt>
                <c:pt idx="13">
                  <c:v>CAMP014</c:v>
                </c:pt>
                <c:pt idx="14">
                  <c:v>CAMP015</c:v>
                </c:pt>
                <c:pt idx="15">
                  <c:v>CAMP016</c:v>
                </c:pt>
                <c:pt idx="16">
                  <c:v>CAMP017</c:v>
                </c:pt>
                <c:pt idx="17">
                  <c:v>CAMP018</c:v>
                </c:pt>
                <c:pt idx="18">
                  <c:v>CAMP019</c:v>
                </c:pt>
                <c:pt idx="19">
                  <c:v>CAMP020</c:v>
                </c:pt>
                <c:pt idx="20">
                  <c:v>CAMP021</c:v>
                </c:pt>
                <c:pt idx="21">
                  <c:v>CAMP022</c:v>
                </c:pt>
                <c:pt idx="22">
                  <c:v>CAMP023</c:v>
                </c:pt>
                <c:pt idx="23">
                  <c:v>CAMP024</c:v>
                </c:pt>
                <c:pt idx="24">
                  <c:v>CAMP025</c:v>
                </c:pt>
                <c:pt idx="25">
                  <c:v>CAMP026</c:v>
                </c:pt>
                <c:pt idx="26">
                  <c:v>CAMP027</c:v>
                </c:pt>
                <c:pt idx="27">
                  <c:v>CAMP028</c:v>
                </c:pt>
                <c:pt idx="28">
                  <c:v>CAMP029</c:v>
                </c:pt>
                <c:pt idx="29">
                  <c:v>CAMP030</c:v>
                </c:pt>
                <c:pt idx="30">
                  <c:v>CAMP031</c:v>
                </c:pt>
                <c:pt idx="31">
                  <c:v>CAMP032</c:v>
                </c:pt>
                <c:pt idx="32">
                  <c:v>CAMP033</c:v>
                </c:pt>
                <c:pt idx="33">
                  <c:v>CAMP034</c:v>
                </c:pt>
                <c:pt idx="34">
                  <c:v>CAMP035</c:v>
                </c:pt>
                <c:pt idx="35">
                  <c:v>CAMP036</c:v>
                </c:pt>
                <c:pt idx="36">
                  <c:v>CAMP037</c:v>
                </c:pt>
                <c:pt idx="37">
                  <c:v>CAMP038</c:v>
                </c:pt>
                <c:pt idx="38">
                  <c:v>CAMP039</c:v>
                </c:pt>
                <c:pt idx="39">
                  <c:v>CAMP040</c:v>
                </c:pt>
                <c:pt idx="40">
                  <c:v>CAMP041</c:v>
                </c:pt>
                <c:pt idx="41">
                  <c:v>CAMP042</c:v>
                </c:pt>
                <c:pt idx="42">
                  <c:v>CAMP043</c:v>
                </c:pt>
                <c:pt idx="43">
                  <c:v>CAMP044</c:v>
                </c:pt>
                <c:pt idx="44">
                  <c:v>CAMP045</c:v>
                </c:pt>
                <c:pt idx="45">
                  <c:v>CAMP046</c:v>
                </c:pt>
                <c:pt idx="46">
                  <c:v>CAMP047</c:v>
                </c:pt>
                <c:pt idx="47">
                  <c:v>CAMP048</c:v>
                </c:pt>
                <c:pt idx="48">
                  <c:v>CAMP049</c:v>
                </c:pt>
                <c:pt idx="49">
                  <c:v>CAMP050</c:v>
                </c:pt>
              </c:strCache>
            </c:strRef>
          </c:cat>
          <c:val>
            <c:numRef>
              <c:f>'Pivot Table'!$B$79:$B$129</c:f>
              <c:numCache>
                <c:formatCode>General</c:formatCode>
                <c:ptCount val="50"/>
                <c:pt idx="0">
                  <c:v>3.436548223350254</c:v>
                </c:pt>
                <c:pt idx="1">
                  <c:v>6.2986601354271716</c:v>
                </c:pt>
                <c:pt idx="2">
                  <c:v>4.4382322408423551</c:v>
                </c:pt>
                <c:pt idx="3">
                  <c:v>5.3495934959349594</c:v>
                </c:pt>
                <c:pt idx="4">
                  <c:v>170.65517241379311</c:v>
                </c:pt>
                <c:pt idx="5">
                  <c:v>35.19047619047619</c:v>
                </c:pt>
                <c:pt idx="6">
                  <c:v>8.4366762177650436</c:v>
                </c:pt>
                <c:pt idx="7">
                  <c:v>8.1856650811874694</c:v>
                </c:pt>
                <c:pt idx="8">
                  <c:v>3.2415556244189649</c:v>
                </c:pt>
                <c:pt idx="9">
                  <c:v>18.423328964613368</c:v>
                </c:pt>
                <c:pt idx="10">
                  <c:v>4.9095925297113752</c:v>
                </c:pt>
                <c:pt idx="11">
                  <c:v>40.340093603744151</c:v>
                </c:pt>
                <c:pt idx="12">
                  <c:v>8.9804807518525216</c:v>
                </c:pt>
                <c:pt idx="13">
                  <c:v>8.7883689582129794</c:v>
                </c:pt>
                <c:pt idx="14">
                  <c:v>27.985522233712512</c:v>
                </c:pt>
                <c:pt idx="15">
                  <c:v>4.3391035194313883</c:v>
                </c:pt>
                <c:pt idx="16">
                  <c:v>8.5268450350152634</c:v>
                </c:pt>
                <c:pt idx="17">
                  <c:v>3.393171806167401</c:v>
                </c:pt>
                <c:pt idx="18">
                  <c:v>3.2363655506422404</c:v>
                </c:pt>
                <c:pt idx="19">
                  <c:v>34.897557131599683</c:v>
                </c:pt>
                <c:pt idx="20">
                  <c:v>5.1118279569892477</c:v>
                </c:pt>
                <c:pt idx="21">
                  <c:v>16.015990862364362</c:v>
                </c:pt>
                <c:pt idx="22">
                  <c:v>2.203883495145631</c:v>
                </c:pt>
                <c:pt idx="23">
                  <c:v>0.81649484536082473</c:v>
                </c:pt>
                <c:pt idx="24">
                  <c:v>1.1071061936808486</c:v>
                </c:pt>
                <c:pt idx="25">
                  <c:v>1.0286961946350592</c:v>
                </c:pt>
                <c:pt idx="26">
                  <c:v>17.012511170688114</c:v>
                </c:pt>
                <c:pt idx="27">
                  <c:v>3.6443694959715196</c:v>
                </c:pt>
                <c:pt idx="28">
                  <c:v>12.585683297180044</c:v>
                </c:pt>
                <c:pt idx="29">
                  <c:v>40.480895915678524</c:v>
                </c:pt>
                <c:pt idx="30">
                  <c:v>3.2824644549763033</c:v>
                </c:pt>
                <c:pt idx="31">
                  <c:v>4.60517836593786</c:v>
                </c:pt>
                <c:pt idx="32">
                  <c:v>5.7261320240043645</c:v>
                </c:pt>
                <c:pt idx="33">
                  <c:v>16.659775280898877</c:v>
                </c:pt>
                <c:pt idx="34">
                  <c:v>13.564949361514751</c:v>
                </c:pt>
                <c:pt idx="35">
                  <c:v>2.8284723882381066</c:v>
                </c:pt>
                <c:pt idx="36">
                  <c:v>11.85130215625875</c:v>
                </c:pt>
                <c:pt idx="37">
                  <c:v>4.107690622261174</c:v>
                </c:pt>
                <c:pt idx="38">
                  <c:v>4.13277428371768</c:v>
                </c:pt>
                <c:pt idx="39">
                  <c:v>3.0553975656921852</c:v>
                </c:pt>
                <c:pt idx="40">
                  <c:v>2.115553446434927</c:v>
                </c:pt>
                <c:pt idx="41">
                  <c:v>18.109695038689122</c:v>
                </c:pt>
                <c:pt idx="42">
                  <c:v>9.5261222910216716</c:v>
                </c:pt>
                <c:pt idx="43">
                  <c:v>3.4980760350931197</c:v>
                </c:pt>
                <c:pt idx="44">
                  <c:v>15.336016800840042</c:v>
                </c:pt>
                <c:pt idx="45">
                  <c:v>7.5982587064676617</c:v>
                </c:pt>
                <c:pt idx="46">
                  <c:v>5.4938450398262129</c:v>
                </c:pt>
                <c:pt idx="47">
                  <c:v>1.76</c:v>
                </c:pt>
                <c:pt idx="48">
                  <c:v>1.5059040590405903</c:v>
                </c:pt>
                <c:pt idx="49">
                  <c:v>5.0279999999999996</c:v>
                </c:pt>
              </c:numCache>
            </c:numRef>
          </c:val>
          <c:extLst>
            <c:ext xmlns:c16="http://schemas.microsoft.com/office/drawing/2014/chart" uri="{C3380CC4-5D6E-409C-BE32-E72D297353CC}">
              <c16:uniqueId val="{00000000-968E-44FC-9AA7-07489D171F8D}"/>
            </c:ext>
          </c:extLst>
        </c:ser>
        <c:dLbls>
          <c:dLblPos val="inEnd"/>
          <c:showLegendKey val="0"/>
          <c:showVal val="1"/>
          <c:showCatName val="0"/>
          <c:showSerName val="0"/>
          <c:showPercent val="0"/>
          <c:showBubbleSize val="0"/>
        </c:dLbls>
        <c:gapWidth val="115"/>
        <c:overlap val="-20"/>
        <c:axId val="684368096"/>
        <c:axId val="684374336"/>
      </c:barChart>
      <c:catAx>
        <c:axId val="684368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374336"/>
        <c:crosses val="autoZero"/>
        <c:auto val="1"/>
        <c:lblAlgn val="ctr"/>
        <c:lblOffset val="100"/>
        <c:noMultiLvlLbl val="0"/>
      </c:catAx>
      <c:valAx>
        <c:axId val="684374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36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ROI!A1"/><Relationship Id="rId7" Type="http://schemas.openxmlformats.org/officeDocument/2006/relationships/chart" Target="../charts/chart9.xml"/><Relationship Id="rId2" Type="http://schemas.openxmlformats.org/officeDocument/2006/relationships/hyperlink" Target="#Conversions!A1"/><Relationship Id="rId1" Type="http://schemas.openxmlformats.org/officeDocument/2006/relationships/hyperlink" Target="#Home!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Engagement Rate'!A1"/></Relationships>
</file>

<file path=xl/drawings/_rels/drawing3.xml.rels><?xml version="1.0" encoding="UTF-8" standalone="yes"?>
<Relationships xmlns="http://schemas.openxmlformats.org/package/2006/relationships"><Relationship Id="rId3" Type="http://schemas.openxmlformats.org/officeDocument/2006/relationships/hyperlink" Target="#ROI!A1"/><Relationship Id="rId2" Type="http://schemas.openxmlformats.org/officeDocument/2006/relationships/hyperlink" Target="#Conversions!A1"/><Relationship Id="rId1" Type="http://schemas.openxmlformats.org/officeDocument/2006/relationships/hyperlink" Target="#Home!A1"/><Relationship Id="rId5" Type="http://schemas.openxmlformats.org/officeDocument/2006/relationships/chart" Target="../charts/chart10.xml"/><Relationship Id="rId4" Type="http://schemas.openxmlformats.org/officeDocument/2006/relationships/hyperlink" Target="#'Engagement Rate'!A1"/></Relationships>
</file>

<file path=xl/drawings/_rels/drawing4.xml.rels><?xml version="1.0" encoding="UTF-8" standalone="yes"?>
<Relationships xmlns="http://schemas.openxmlformats.org/package/2006/relationships"><Relationship Id="rId3" Type="http://schemas.openxmlformats.org/officeDocument/2006/relationships/hyperlink" Target="#ROI!A1"/><Relationship Id="rId2" Type="http://schemas.openxmlformats.org/officeDocument/2006/relationships/hyperlink" Target="#Conversions!A1"/><Relationship Id="rId1" Type="http://schemas.openxmlformats.org/officeDocument/2006/relationships/hyperlink" Target="#Home!A1"/><Relationship Id="rId5" Type="http://schemas.openxmlformats.org/officeDocument/2006/relationships/chart" Target="../charts/chart11.xml"/><Relationship Id="rId4" Type="http://schemas.openxmlformats.org/officeDocument/2006/relationships/hyperlink" Target="#'Engagement Rate'!A1"/></Relationships>
</file>

<file path=xl/drawings/_rels/drawing5.xml.rels><?xml version="1.0" encoding="UTF-8" standalone="yes"?>
<Relationships xmlns="http://schemas.openxmlformats.org/package/2006/relationships"><Relationship Id="rId3" Type="http://schemas.openxmlformats.org/officeDocument/2006/relationships/hyperlink" Target="#ROI!A1"/><Relationship Id="rId2" Type="http://schemas.openxmlformats.org/officeDocument/2006/relationships/hyperlink" Target="#Conversions!A1"/><Relationship Id="rId1" Type="http://schemas.openxmlformats.org/officeDocument/2006/relationships/hyperlink" Target="#Home!A1"/><Relationship Id="rId5" Type="http://schemas.openxmlformats.org/officeDocument/2006/relationships/chart" Target="../charts/chart12.xml"/><Relationship Id="rId4" Type="http://schemas.openxmlformats.org/officeDocument/2006/relationships/hyperlink" Target="#'Engagement Rate'!A1"/></Relationships>
</file>

<file path=xl/drawings/drawing1.xml><?xml version="1.0" encoding="utf-8"?>
<xdr:wsDr xmlns:xdr="http://schemas.openxmlformats.org/drawingml/2006/spreadsheetDrawing" xmlns:a="http://schemas.openxmlformats.org/drawingml/2006/main">
  <xdr:twoCellAnchor>
    <xdr:from>
      <xdr:col>2</xdr:col>
      <xdr:colOff>727075</xdr:colOff>
      <xdr:row>0</xdr:row>
      <xdr:rowOff>133350</xdr:rowOff>
    </xdr:from>
    <xdr:to>
      <xdr:col>8</xdr:col>
      <xdr:colOff>266700</xdr:colOff>
      <xdr:row>10</xdr:row>
      <xdr:rowOff>177800</xdr:rowOff>
    </xdr:to>
    <xdr:graphicFrame macro="">
      <xdr:nvGraphicFramePr>
        <xdr:cNvPr id="2" name="Chart 1">
          <a:extLst>
            <a:ext uri="{FF2B5EF4-FFF2-40B4-BE49-F238E27FC236}">
              <a16:creationId xmlns:a16="http://schemas.microsoft.com/office/drawing/2014/main" id="{26AF8343-3D54-7722-DECB-1E0DFE258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625473</xdr:colOff>
      <xdr:row>14</xdr:row>
      <xdr:rowOff>153988</xdr:rowOff>
    </xdr:from>
    <xdr:to>
      <xdr:col>17</xdr:col>
      <xdr:colOff>7938</xdr:colOff>
      <xdr:row>34</xdr:row>
      <xdr:rowOff>115888</xdr:rowOff>
    </xdr:to>
    <xdr:graphicFrame macro="">
      <xdr:nvGraphicFramePr>
        <xdr:cNvPr id="3" name="Chart 2">
          <a:extLst>
            <a:ext uri="{FF2B5EF4-FFF2-40B4-BE49-F238E27FC236}">
              <a16:creationId xmlns:a16="http://schemas.microsoft.com/office/drawing/2014/main" id="{8A8CEA2F-13D1-8B33-F5A1-1C8FF2909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942974</xdr:colOff>
      <xdr:row>85</xdr:row>
      <xdr:rowOff>19049</xdr:rowOff>
    </xdr:from>
    <xdr:to>
      <xdr:col>11</xdr:col>
      <xdr:colOff>603249</xdr:colOff>
      <xdr:row>123</xdr:row>
      <xdr:rowOff>39687</xdr:rowOff>
    </xdr:to>
    <xdr:graphicFrame macro="">
      <xdr:nvGraphicFramePr>
        <xdr:cNvPr id="4" name="Chart 3">
          <a:extLst>
            <a:ext uri="{FF2B5EF4-FFF2-40B4-BE49-F238E27FC236}">
              <a16:creationId xmlns:a16="http://schemas.microsoft.com/office/drawing/2014/main" id="{26DC277F-D183-3D36-BF8A-6203593AB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490537</xdr:colOff>
      <xdr:row>0</xdr:row>
      <xdr:rowOff>0</xdr:rowOff>
    </xdr:from>
    <xdr:to>
      <xdr:col>16</xdr:col>
      <xdr:colOff>485775</xdr:colOff>
      <xdr:row>10</xdr:row>
      <xdr:rowOff>42862</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B08B6B25-9FE5-C070-ECE8-F87FFF88547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728519" y="0"/>
              <a:ext cx="1833396" cy="1936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252412</xdr:colOff>
      <xdr:row>14</xdr:row>
      <xdr:rowOff>4762</xdr:rowOff>
    </xdr:from>
    <xdr:to>
      <xdr:col>20</xdr:col>
      <xdr:colOff>247650</xdr:colOff>
      <xdr:row>27</xdr:row>
      <xdr:rowOff>155574</xdr:rowOff>
    </xdr:to>
    <mc:AlternateContent xmlns:mc="http://schemas.openxmlformats.org/markup-compatibility/2006" xmlns:a14="http://schemas.microsoft.com/office/drawing/2010/main">
      <mc:Choice Requires="a14">
        <xdr:graphicFrame macro="">
          <xdr:nvGraphicFramePr>
            <xdr:cNvPr id="7" name="Campaign ID">
              <a:extLst>
                <a:ext uri="{FF2B5EF4-FFF2-40B4-BE49-F238E27FC236}">
                  <a16:creationId xmlns:a16="http://schemas.microsoft.com/office/drawing/2014/main" id="{8C4F34CE-C6BB-284E-7D77-926C9C83703D}"/>
                </a:ext>
              </a:extLst>
            </xdr:cNvPr>
            <xdr:cNvGraphicFramePr/>
          </xdr:nvGraphicFramePr>
          <xdr:xfrm>
            <a:off x="0" y="0"/>
            <a:ext cx="0" cy="0"/>
          </xdr:xfrm>
          <a:graphic>
            <a:graphicData uri="http://schemas.microsoft.com/office/drawing/2010/slicer">
              <sle:slicer xmlns:sle="http://schemas.microsoft.com/office/drawing/2010/slicer" name="Campaign ID"/>
            </a:graphicData>
          </a:graphic>
        </xdr:graphicFrame>
      </mc:Choice>
      <mc:Fallback xmlns="">
        <xdr:sp macro="" textlink="">
          <xdr:nvSpPr>
            <xdr:cNvPr id="0" name=""/>
            <xdr:cNvSpPr>
              <a:spLocks noTextEdit="1"/>
            </xdr:cNvSpPr>
          </xdr:nvSpPr>
          <xdr:spPr>
            <a:xfrm>
              <a:off x="12941272" y="2656166"/>
              <a:ext cx="1833396" cy="261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363538</xdr:colOff>
      <xdr:row>84</xdr:row>
      <xdr:rowOff>160337</xdr:rowOff>
    </xdr:from>
    <xdr:to>
      <xdr:col>15</xdr:col>
      <xdr:colOff>358775</xdr:colOff>
      <xdr:row>98</xdr:row>
      <xdr:rowOff>128587</xdr:rowOff>
    </xdr:to>
    <mc:AlternateContent xmlns:mc="http://schemas.openxmlformats.org/markup-compatibility/2006" xmlns:a14="http://schemas.microsoft.com/office/drawing/2010/main">
      <mc:Choice Requires="a14">
        <xdr:graphicFrame macro="">
          <xdr:nvGraphicFramePr>
            <xdr:cNvPr id="8" name="Campaign ID 1">
              <a:extLst>
                <a:ext uri="{FF2B5EF4-FFF2-40B4-BE49-F238E27FC236}">
                  <a16:creationId xmlns:a16="http://schemas.microsoft.com/office/drawing/2014/main" id="{39D5E254-7FA7-2984-0BC3-144469B8F82F}"/>
                </a:ext>
              </a:extLst>
            </xdr:cNvPr>
            <xdr:cNvGraphicFramePr/>
          </xdr:nvGraphicFramePr>
          <xdr:xfrm>
            <a:off x="0" y="0"/>
            <a:ext cx="0" cy="0"/>
          </xdr:xfrm>
          <a:graphic>
            <a:graphicData uri="http://schemas.microsoft.com/office/drawing/2010/slicer">
              <sle:slicer xmlns:sle="http://schemas.microsoft.com/office/drawing/2010/slicer" name="Campaign ID 1"/>
            </a:graphicData>
          </a:graphic>
        </xdr:graphicFrame>
      </mc:Choice>
      <mc:Fallback xmlns="">
        <xdr:sp macro="" textlink="">
          <xdr:nvSpPr>
            <xdr:cNvPr id="0" name=""/>
            <xdr:cNvSpPr>
              <a:spLocks noTextEdit="1"/>
            </xdr:cNvSpPr>
          </xdr:nvSpPr>
          <xdr:spPr>
            <a:xfrm>
              <a:off x="9988801" y="16068758"/>
              <a:ext cx="1833395" cy="2619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593780</xdr:colOff>
      <xdr:row>96</xdr:row>
      <xdr:rowOff>188049</xdr:rowOff>
    </xdr:from>
    <xdr:to>
      <xdr:col>23</xdr:col>
      <xdr:colOff>264026</xdr:colOff>
      <xdr:row>111</xdr:row>
      <xdr:rowOff>90460</xdr:rowOff>
    </xdr:to>
    <xdr:graphicFrame macro="">
      <xdr:nvGraphicFramePr>
        <xdr:cNvPr id="10" name="Chart 9">
          <a:extLst>
            <a:ext uri="{FF2B5EF4-FFF2-40B4-BE49-F238E27FC236}">
              <a16:creationId xmlns:a16="http://schemas.microsoft.com/office/drawing/2014/main" id="{93A38C1B-A47D-B60D-2BEB-A2A10FA01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560360</xdr:colOff>
      <xdr:row>27</xdr:row>
      <xdr:rowOff>132348</xdr:rowOff>
    </xdr:from>
    <xdr:to>
      <xdr:col>28</xdr:col>
      <xdr:colOff>230606</xdr:colOff>
      <xdr:row>42</xdr:row>
      <xdr:rowOff>34758</xdr:rowOff>
    </xdr:to>
    <xdr:graphicFrame macro="">
      <xdr:nvGraphicFramePr>
        <xdr:cNvPr id="11" name="Chart 10">
          <a:extLst>
            <a:ext uri="{FF2B5EF4-FFF2-40B4-BE49-F238E27FC236}">
              <a16:creationId xmlns:a16="http://schemas.microsoft.com/office/drawing/2014/main" id="{FB5D3ADF-221D-4C50-21EF-7A18AD3E1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170447</xdr:colOff>
      <xdr:row>0</xdr:row>
      <xdr:rowOff>65505</xdr:rowOff>
    </xdr:from>
    <xdr:to>
      <xdr:col>28</xdr:col>
      <xdr:colOff>453412</xdr:colOff>
      <xdr:row>14</xdr:row>
      <xdr:rowOff>157301</xdr:rowOff>
    </xdr:to>
    <xdr:graphicFrame macro="">
      <xdr:nvGraphicFramePr>
        <xdr:cNvPr id="12" name="Chart 11">
          <a:extLst>
            <a:ext uri="{FF2B5EF4-FFF2-40B4-BE49-F238E27FC236}">
              <a16:creationId xmlns:a16="http://schemas.microsoft.com/office/drawing/2014/main" id="{67946EC3-127E-F55C-46A7-FA769DBFD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0</xdr:row>
      <xdr:rowOff>101600</xdr:rowOff>
    </xdr:from>
    <xdr:to>
      <xdr:col>19</xdr:col>
      <xdr:colOff>330200</xdr:colOff>
      <xdr:row>30</xdr:row>
      <xdr:rowOff>31750</xdr:rowOff>
    </xdr:to>
    <xdr:sp macro="" textlink="">
      <xdr:nvSpPr>
        <xdr:cNvPr id="2" name="Rectangle: Rounded Corners 1">
          <a:extLst>
            <a:ext uri="{FF2B5EF4-FFF2-40B4-BE49-F238E27FC236}">
              <a16:creationId xmlns:a16="http://schemas.microsoft.com/office/drawing/2014/main" id="{C1A4B797-225B-51F4-6F95-E6C63BCDE98A}"/>
            </a:ext>
          </a:extLst>
        </xdr:cNvPr>
        <xdr:cNvSpPr/>
      </xdr:nvSpPr>
      <xdr:spPr>
        <a:xfrm>
          <a:off x="381000" y="101600"/>
          <a:ext cx="11531600" cy="54546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xdr:colOff>
      <xdr:row>2</xdr:row>
      <xdr:rowOff>120650</xdr:rowOff>
    </xdr:from>
    <xdr:to>
      <xdr:col>4</xdr:col>
      <xdr:colOff>209550</xdr:colOff>
      <xdr:row>7</xdr:row>
      <xdr:rowOff>82550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3B84F47-1D19-2850-BF63-A1F22D441CE0}"/>
            </a:ext>
          </a:extLst>
        </xdr:cNvPr>
        <xdr:cNvSpPr/>
      </xdr:nvSpPr>
      <xdr:spPr>
        <a:xfrm>
          <a:off x="666750" y="488950"/>
          <a:ext cx="1981200" cy="882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Home</a:t>
          </a:r>
        </a:p>
      </xdr:txBody>
    </xdr:sp>
    <xdr:clientData/>
  </xdr:twoCellAnchor>
  <xdr:twoCellAnchor>
    <xdr:from>
      <xdr:col>1</xdr:col>
      <xdr:colOff>107950</xdr:colOff>
      <xdr:row>22</xdr:row>
      <xdr:rowOff>165100</xdr:rowOff>
    </xdr:from>
    <xdr:to>
      <xdr:col>4</xdr:col>
      <xdr:colOff>260350</xdr:colOff>
      <xdr:row>27</xdr:row>
      <xdr:rowOff>19050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7F31FD8-9220-4D8A-9337-F363CD46DAAF}"/>
            </a:ext>
          </a:extLst>
        </xdr:cNvPr>
        <xdr:cNvSpPr/>
      </xdr:nvSpPr>
      <xdr:spPr>
        <a:xfrm>
          <a:off x="717550" y="4216400"/>
          <a:ext cx="1981200" cy="774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Conversions</a:t>
          </a:r>
        </a:p>
      </xdr:txBody>
    </xdr:sp>
    <xdr:clientData/>
  </xdr:twoCellAnchor>
  <xdr:twoCellAnchor>
    <xdr:from>
      <xdr:col>1</xdr:col>
      <xdr:colOff>69850</xdr:colOff>
      <xdr:row>16</xdr:row>
      <xdr:rowOff>76200</xdr:rowOff>
    </xdr:from>
    <xdr:to>
      <xdr:col>4</xdr:col>
      <xdr:colOff>222250</xdr:colOff>
      <xdr:row>20</xdr:row>
      <xdr:rowOff>139700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12A7CF2E-3657-4B74-98E2-A057F9804F97}"/>
            </a:ext>
          </a:extLst>
        </xdr:cNvPr>
        <xdr:cNvSpPr/>
      </xdr:nvSpPr>
      <xdr:spPr>
        <a:xfrm>
          <a:off x="679450" y="3022600"/>
          <a:ext cx="19812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ROI</a:t>
          </a:r>
        </a:p>
      </xdr:txBody>
    </xdr:sp>
    <xdr:clientData/>
  </xdr:twoCellAnchor>
  <xdr:twoCellAnchor>
    <xdr:from>
      <xdr:col>1</xdr:col>
      <xdr:colOff>50800</xdr:colOff>
      <xdr:row>9</xdr:row>
      <xdr:rowOff>69850</xdr:rowOff>
    </xdr:from>
    <xdr:to>
      <xdr:col>4</xdr:col>
      <xdr:colOff>203200</xdr:colOff>
      <xdr:row>13</xdr:row>
      <xdr:rowOff>177800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352CB96D-987C-430C-9BBF-72DEAFEAF00B}"/>
            </a:ext>
          </a:extLst>
        </xdr:cNvPr>
        <xdr:cNvSpPr/>
      </xdr:nvSpPr>
      <xdr:spPr>
        <a:xfrm>
          <a:off x="660400" y="1727200"/>
          <a:ext cx="1981200" cy="844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Engagement Rate</a:t>
          </a:r>
        </a:p>
      </xdr:txBody>
    </xdr:sp>
    <xdr:clientData/>
  </xdr:twoCellAnchor>
  <xdr:twoCellAnchor>
    <xdr:from>
      <xdr:col>4</xdr:col>
      <xdr:colOff>444500</xdr:colOff>
      <xdr:row>1</xdr:row>
      <xdr:rowOff>25400</xdr:rowOff>
    </xdr:from>
    <xdr:to>
      <xdr:col>19</xdr:col>
      <xdr:colOff>95250</xdr:colOff>
      <xdr:row>29</xdr:row>
      <xdr:rowOff>0</xdr:rowOff>
    </xdr:to>
    <xdr:sp macro="" textlink="">
      <xdr:nvSpPr>
        <xdr:cNvPr id="11" name="Rectangle: Rounded Corners 10">
          <a:extLst>
            <a:ext uri="{FF2B5EF4-FFF2-40B4-BE49-F238E27FC236}">
              <a16:creationId xmlns:a16="http://schemas.microsoft.com/office/drawing/2014/main" id="{AD2CBE3C-E1E4-E1B3-CE4D-D7A2E562C6D7}"/>
            </a:ext>
          </a:extLst>
        </xdr:cNvPr>
        <xdr:cNvSpPr/>
      </xdr:nvSpPr>
      <xdr:spPr>
        <a:xfrm>
          <a:off x="2882900" y="209550"/>
          <a:ext cx="8794750" cy="51308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228600</xdr:colOff>
      <xdr:row>2</xdr:row>
      <xdr:rowOff>31750</xdr:rowOff>
    </xdr:from>
    <xdr:to>
      <xdr:col>18</xdr:col>
      <xdr:colOff>298450</xdr:colOff>
      <xdr:row>27</xdr:row>
      <xdr:rowOff>146050</xdr:rowOff>
    </xdr:to>
    <xdr:graphicFrame macro="">
      <xdr:nvGraphicFramePr>
        <xdr:cNvPr id="16" name="Chart 15">
          <a:extLst>
            <a:ext uri="{FF2B5EF4-FFF2-40B4-BE49-F238E27FC236}">
              <a16:creationId xmlns:a16="http://schemas.microsoft.com/office/drawing/2014/main" id="{1D7D0226-F0C2-4E3F-9115-02E867041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209550</xdr:colOff>
      <xdr:row>14</xdr:row>
      <xdr:rowOff>88900</xdr:rowOff>
    </xdr:from>
    <xdr:to>
      <xdr:col>11</xdr:col>
      <xdr:colOff>590550</xdr:colOff>
      <xdr:row>27</xdr:row>
      <xdr:rowOff>101600</xdr:rowOff>
    </xdr:to>
    <xdr:graphicFrame macro="">
      <xdr:nvGraphicFramePr>
        <xdr:cNvPr id="17" name="Chart 16">
          <a:extLst>
            <a:ext uri="{FF2B5EF4-FFF2-40B4-BE49-F238E27FC236}">
              <a16:creationId xmlns:a16="http://schemas.microsoft.com/office/drawing/2014/main" id="{19B533FE-2C9B-44DC-BED1-6080E7784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260350</xdr:colOff>
      <xdr:row>2</xdr:row>
      <xdr:rowOff>19050</xdr:rowOff>
    </xdr:from>
    <xdr:to>
      <xdr:col>11</xdr:col>
      <xdr:colOff>463550</xdr:colOff>
      <xdr:row>13</xdr:row>
      <xdr:rowOff>19050</xdr:rowOff>
    </xdr:to>
    <xdr:graphicFrame macro="">
      <xdr:nvGraphicFramePr>
        <xdr:cNvPr id="18" name="Chart 17">
          <a:extLst>
            <a:ext uri="{FF2B5EF4-FFF2-40B4-BE49-F238E27FC236}">
              <a16:creationId xmlns:a16="http://schemas.microsoft.com/office/drawing/2014/main" id="{D53B05AA-9127-404C-92F6-0E0408688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0</xdr:row>
      <xdr:rowOff>101600</xdr:rowOff>
    </xdr:from>
    <xdr:to>
      <xdr:col>18</xdr:col>
      <xdr:colOff>412750</xdr:colOff>
      <xdr:row>29</xdr:row>
      <xdr:rowOff>152400</xdr:rowOff>
    </xdr:to>
    <xdr:sp macro="" textlink="">
      <xdr:nvSpPr>
        <xdr:cNvPr id="2" name="Rectangle: Rounded Corners 1">
          <a:extLst>
            <a:ext uri="{FF2B5EF4-FFF2-40B4-BE49-F238E27FC236}">
              <a16:creationId xmlns:a16="http://schemas.microsoft.com/office/drawing/2014/main" id="{207A93D2-D36F-46F3-913D-DA5B3C3F9F46}"/>
            </a:ext>
          </a:extLst>
        </xdr:cNvPr>
        <xdr:cNvSpPr/>
      </xdr:nvSpPr>
      <xdr:spPr>
        <a:xfrm>
          <a:off x="381000" y="101600"/>
          <a:ext cx="11004550" cy="53911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xdr:colOff>
      <xdr:row>2</xdr:row>
      <xdr:rowOff>120650</xdr:rowOff>
    </xdr:from>
    <xdr:to>
      <xdr:col>4</xdr:col>
      <xdr:colOff>209550</xdr:colOff>
      <xdr:row>7</xdr:row>
      <xdr:rowOff>82550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84B487AF-50C8-4668-90FD-F0793B3B498A}"/>
            </a:ext>
          </a:extLst>
        </xdr:cNvPr>
        <xdr:cNvSpPr/>
      </xdr:nvSpPr>
      <xdr:spPr>
        <a:xfrm>
          <a:off x="666750" y="488950"/>
          <a:ext cx="1981200" cy="882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Home</a:t>
          </a:r>
        </a:p>
      </xdr:txBody>
    </xdr:sp>
    <xdr:clientData/>
  </xdr:twoCellAnchor>
  <xdr:twoCellAnchor>
    <xdr:from>
      <xdr:col>1</xdr:col>
      <xdr:colOff>107950</xdr:colOff>
      <xdr:row>22</xdr:row>
      <xdr:rowOff>165100</xdr:rowOff>
    </xdr:from>
    <xdr:to>
      <xdr:col>4</xdr:col>
      <xdr:colOff>260350</xdr:colOff>
      <xdr:row>27</xdr:row>
      <xdr:rowOff>19050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01963A9-2970-400D-AC20-9DBB0B8F008D}"/>
            </a:ext>
          </a:extLst>
        </xdr:cNvPr>
        <xdr:cNvSpPr/>
      </xdr:nvSpPr>
      <xdr:spPr>
        <a:xfrm>
          <a:off x="717550" y="4216400"/>
          <a:ext cx="1981200" cy="774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Conversions</a:t>
          </a:r>
        </a:p>
      </xdr:txBody>
    </xdr:sp>
    <xdr:clientData/>
  </xdr:twoCellAnchor>
  <xdr:twoCellAnchor>
    <xdr:from>
      <xdr:col>1</xdr:col>
      <xdr:colOff>69850</xdr:colOff>
      <xdr:row>16</xdr:row>
      <xdr:rowOff>76200</xdr:rowOff>
    </xdr:from>
    <xdr:to>
      <xdr:col>4</xdr:col>
      <xdr:colOff>222250</xdr:colOff>
      <xdr:row>20</xdr:row>
      <xdr:rowOff>139700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98CA21C7-3A1F-40AB-AE7F-6B027494107B}"/>
            </a:ext>
          </a:extLst>
        </xdr:cNvPr>
        <xdr:cNvSpPr/>
      </xdr:nvSpPr>
      <xdr:spPr>
        <a:xfrm>
          <a:off x="679450" y="3022600"/>
          <a:ext cx="19812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ROI</a:t>
          </a:r>
        </a:p>
      </xdr:txBody>
    </xdr:sp>
    <xdr:clientData/>
  </xdr:twoCellAnchor>
  <xdr:twoCellAnchor>
    <xdr:from>
      <xdr:col>1</xdr:col>
      <xdr:colOff>50800</xdr:colOff>
      <xdr:row>9</xdr:row>
      <xdr:rowOff>69850</xdr:rowOff>
    </xdr:from>
    <xdr:to>
      <xdr:col>4</xdr:col>
      <xdr:colOff>203200</xdr:colOff>
      <xdr:row>13</xdr:row>
      <xdr:rowOff>177800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E9BE6157-243E-41A3-AEB4-BFA9EAB6AB7A}"/>
            </a:ext>
          </a:extLst>
        </xdr:cNvPr>
        <xdr:cNvSpPr/>
      </xdr:nvSpPr>
      <xdr:spPr>
        <a:xfrm>
          <a:off x="660400" y="1727200"/>
          <a:ext cx="1981200" cy="844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Engagement Rate</a:t>
          </a:r>
        </a:p>
      </xdr:txBody>
    </xdr:sp>
    <xdr:clientData/>
  </xdr:twoCellAnchor>
  <xdr:twoCellAnchor>
    <xdr:from>
      <xdr:col>4</xdr:col>
      <xdr:colOff>519545</xdr:colOff>
      <xdr:row>1</xdr:row>
      <xdr:rowOff>109041</xdr:rowOff>
    </xdr:from>
    <xdr:to>
      <xdr:col>18</xdr:col>
      <xdr:colOff>83384</xdr:colOff>
      <xdr:row>28</xdr:row>
      <xdr:rowOff>37587</xdr:rowOff>
    </xdr:to>
    <xdr:sp macro="" textlink="">
      <xdr:nvSpPr>
        <xdr:cNvPr id="7" name="Rectangle: Rounded Corners 6">
          <a:extLst>
            <a:ext uri="{FF2B5EF4-FFF2-40B4-BE49-F238E27FC236}">
              <a16:creationId xmlns:a16="http://schemas.microsoft.com/office/drawing/2014/main" id="{ED2BD4B8-8F76-49A2-8B21-6840FE4AC081}"/>
            </a:ext>
          </a:extLst>
        </xdr:cNvPr>
        <xdr:cNvSpPr/>
      </xdr:nvSpPr>
      <xdr:spPr>
        <a:xfrm>
          <a:off x="2956919" y="295051"/>
          <a:ext cx="8094647" cy="495081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109041</xdr:colOff>
      <xdr:row>3</xdr:row>
      <xdr:rowOff>134696</xdr:rowOff>
    </xdr:from>
    <xdr:to>
      <xdr:col>17</xdr:col>
      <xdr:colOff>442576</xdr:colOff>
      <xdr:row>18</xdr:row>
      <xdr:rowOff>141110</xdr:rowOff>
    </xdr:to>
    <xdr:graphicFrame macro="">
      <xdr:nvGraphicFramePr>
        <xdr:cNvPr id="8" name="Chart 7">
          <a:extLst>
            <a:ext uri="{FF2B5EF4-FFF2-40B4-BE49-F238E27FC236}">
              <a16:creationId xmlns:a16="http://schemas.microsoft.com/office/drawing/2014/main" id="{DF2A17AB-B036-4944-8596-D4973816C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526524</xdr:colOff>
      <xdr:row>19</xdr:row>
      <xdr:rowOff>153556</xdr:rowOff>
    </xdr:from>
    <xdr:to>
      <xdr:col>14</xdr:col>
      <xdr:colOff>226741</xdr:colOff>
      <xdr:row>27</xdr:row>
      <xdr:rowOff>51314</xdr:rowOff>
    </xdr:to>
    <mc:AlternateContent xmlns:mc="http://schemas.openxmlformats.org/markup-compatibility/2006" xmlns:a14="http://schemas.microsoft.com/office/drawing/2010/main">
      <mc:Choice Requires="a14">
        <xdr:graphicFrame macro="">
          <xdr:nvGraphicFramePr>
            <xdr:cNvPr id="9" name="Campaign ID 2">
              <a:extLst>
                <a:ext uri="{FF2B5EF4-FFF2-40B4-BE49-F238E27FC236}">
                  <a16:creationId xmlns:a16="http://schemas.microsoft.com/office/drawing/2014/main" id="{CF460B40-F7FB-4FF5-BBFD-F16C71086CEA}"/>
                </a:ext>
              </a:extLst>
            </xdr:cNvPr>
            <xdr:cNvGraphicFramePr/>
          </xdr:nvGraphicFramePr>
          <xdr:xfrm>
            <a:off x="0" y="0"/>
            <a:ext cx="0" cy="0"/>
          </xdr:xfrm>
          <a:graphic>
            <a:graphicData uri="http://schemas.microsoft.com/office/drawing/2010/slicer">
              <sle:slicer xmlns:sle="http://schemas.microsoft.com/office/drawing/2010/slicer" name="Campaign ID 2"/>
            </a:graphicData>
          </a:graphic>
        </xdr:graphicFrame>
      </mc:Choice>
      <mc:Fallback xmlns="">
        <xdr:sp macro="" textlink="">
          <xdr:nvSpPr>
            <xdr:cNvPr id="0" name=""/>
            <xdr:cNvSpPr>
              <a:spLocks noTextEdit="1"/>
            </xdr:cNvSpPr>
          </xdr:nvSpPr>
          <xdr:spPr>
            <a:xfrm>
              <a:off x="5401271" y="3687748"/>
              <a:ext cx="3356278" cy="138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381000</xdr:colOff>
      <xdr:row>0</xdr:row>
      <xdr:rowOff>101600</xdr:rowOff>
    </xdr:from>
    <xdr:to>
      <xdr:col>18</xdr:col>
      <xdr:colOff>412750</xdr:colOff>
      <xdr:row>29</xdr:row>
      <xdr:rowOff>152400</xdr:rowOff>
    </xdr:to>
    <xdr:sp macro="" textlink="">
      <xdr:nvSpPr>
        <xdr:cNvPr id="2" name="Rectangle: Rounded Corners 1">
          <a:extLst>
            <a:ext uri="{FF2B5EF4-FFF2-40B4-BE49-F238E27FC236}">
              <a16:creationId xmlns:a16="http://schemas.microsoft.com/office/drawing/2014/main" id="{E2960052-C650-4CDB-814D-CB95268F52D2}"/>
            </a:ext>
          </a:extLst>
        </xdr:cNvPr>
        <xdr:cNvSpPr/>
      </xdr:nvSpPr>
      <xdr:spPr>
        <a:xfrm>
          <a:off x="381000" y="101600"/>
          <a:ext cx="11004550" cy="53911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xdr:colOff>
      <xdr:row>2</xdr:row>
      <xdr:rowOff>120650</xdr:rowOff>
    </xdr:from>
    <xdr:to>
      <xdr:col>4</xdr:col>
      <xdr:colOff>209550</xdr:colOff>
      <xdr:row>7</xdr:row>
      <xdr:rowOff>82550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E55CB9BC-266E-4F0F-AF3C-8063A4DAF0F4}"/>
            </a:ext>
          </a:extLst>
        </xdr:cNvPr>
        <xdr:cNvSpPr/>
      </xdr:nvSpPr>
      <xdr:spPr>
        <a:xfrm>
          <a:off x="666750" y="488950"/>
          <a:ext cx="1981200" cy="882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Home</a:t>
          </a:r>
        </a:p>
      </xdr:txBody>
    </xdr:sp>
    <xdr:clientData/>
  </xdr:twoCellAnchor>
  <xdr:twoCellAnchor>
    <xdr:from>
      <xdr:col>1</xdr:col>
      <xdr:colOff>107950</xdr:colOff>
      <xdr:row>22</xdr:row>
      <xdr:rowOff>165100</xdr:rowOff>
    </xdr:from>
    <xdr:to>
      <xdr:col>4</xdr:col>
      <xdr:colOff>260350</xdr:colOff>
      <xdr:row>27</xdr:row>
      <xdr:rowOff>19050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28187F3-689C-4A8D-8872-526B1164AFB1}"/>
            </a:ext>
          </a:extLst>
        </xdr:cNvPr>
        <xdr:cNvSpPr/>
      </xdr:nvSpPr>
      <xdr:spPr>
        <a:xfrm>
          <a:off x="717550" y="4216400"/>
          <a:ext cx="1981200" cy="774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Conversions</a:t>
          </a:r>
        </a:p>
      </xdr:txBody>
    </xdr:sp>
    <xdr:clientData/>
  </xdr:twoCellAnchor>
  <xdr:twoCellAnchor>
    <xdr:from>
      <xdr:col>1</xdr:col>
      <xdr:colOff>69850</xdr:colOff>
      <xdr:row>16</xdr:row>
      <xdr:rowOff>76200</xdr:rowOff>
    </xdr:from>
    <xdr:to>
      <xdr:col>4</xdr:col>
      <xdr:colOff>222250</xdr:colOff>
      <xdr:row>20</xdr:row>
      <xdr:rowOff>139700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C2B86660-1BB2-49AA-BBFB-58E167DB7F6B}"/>
            </a:ext>
          </a:extLst>
        </xdr:cNvPr>
        <xdr:cNvSpPr/>
      </xdr:nvSpPr>
      <xdr:spPr>
        <a:xfrm>
          <a:off x="679450" y="3022600"/>
          <a:ext cx="19812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ROI</a:t>
          </a:r>
        </a:p>
      </xdr:txBody>
    </xdr:sp>
    <xdr:clientData/>
  </xdr:twoCellAnchor>
  <xdr:twoCellAnchor>
    <xdr:from>
      <xdr:col>1</xdr:col>
      <xdr:colOff>50800</xdr:colOff>
      <xdr:row>9</xdr:row>
      <xdr:rowOff>69850</xdr:rowOff>
    </xdr:from>
    <xdr:to>
      <xdr:col>4</xdr:col>
      <xdr:colOff>203200</xdr:colOff>
      <xdr:row>13</xdr:row>
      <xdr:rowOff>177800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5A3D2A90-8DA9-4B2B-B71E-9D9DC02A480E}"/>
            </a:ext>
          </a:extLst>
        </xdr:cNvPr>
        <xdr:cNvSpPr/>
      </xdr:nvSpPr>
      <xdr:spPr>
        <a:xfrm>
          <a:off x="660400" y="1727200"/>
          <a:ext cx="1981200" cy="844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Engagement Rate</a:t>
          </a:r>
        </a:p>
      </xdr:txBody>
    </xdr:sp>
    <xdr:clientData/>
  </xdr:twoCellAnchor>
  <xdr:twoCellAnchor>
    <xdr:from>
      <xdr:col>5</xdr:col>
      <xdr:colOff>38100</xdr:colOff>
      <xdr:row>2</xdr:row>
      <xdr:rowOff>19050</xdr:rowOff>
    </xdr:from>
    <xdr:to>
      <xdr:col>17</xdr:col>
      <xdr:colOff>419100</xdr:colOff>
      <xdr:row>27</xdr:row>
      <xdr:rowOff>88900</xdr:rowOff>
    </xdr:to>
    <xdr:sp macro="" textlink="">
      <xdr:nvSpPr>
        <xdr:cNvPr id="7" name="Rectangle: Rounded Corners 6">
          <a:extLst>
            <a:ext uri="{FF2B5EF4-FFF2-40B4-BE49-F238E27FC236}">
              <a16:creationId xmlns:a16="http://schemas.microsoft.com/office/drawing/2014/main" id="{74C2272C-6626-4B45-BA59-1D58E99719AF}"/>
            </a:ext>
          </a:extLst>
        </xdr:cNvPr>
        <xdr:cNvSpPr/>
      </xdr:nvSpPr>
      <xdr:spPr>
        <a:xfrm>
          <a:off x="3086100" y="387350"/>
          <a:ext cx="7696200" cy="46736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368300</xdr:colOff>
      <xdr:row>4</xdr:row>
      <xdr:rowOff>50800</xdr:rowOff>
    </xdr:from>
    <xdr:to>
      <xdr:col>13</xdr:col>
      <xdr:colOff>425450</xdr:colOff>
      <xdr:row>23</xdr:row>
      <xdr:rowOff>146050</xdr:rowOff>
    </xdr:to>
    <xdr:graphicFrame macro="">
      <xdr:nvGraphicFramePr>
        <xdr:cNvPr id="8" name="Chart 7">
          <a:extLst>
            <a:ext uri="{FF2B5EF4-FFF2-40B4-BE49-F238E27FC236}">
              <a16:creationId xmlns:a16="http://schemas.microsoft.com/office/drawing/2014/main" id="{49567E44-EAD6-45EC-98C0-D6E799575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112712</xdr:colOff>
      <xdr:row>9</xdr:row>
      <xdr:rowOff>63501</xdr:rowOff>
    </xdr:from>
    <xdr:to>
      <xdr:col>17</xdr:col>
      <xdr:colOff>112712</xdr:colOff>
      <xdr:row>17</xdr:row>
      <xdr:rowOff>165101</xdr:rowOff>
    </xdr:to>
    <mc:AlternateContent xmlns:mc="http://schemas.openxmlformats.org/markup-compatibility/2006" xmlns:a14="http://schemas.microsoft.com/office/drawing/2010/main">
      <mc:Choice Requires="a14">
        <xdr:graphicFrame macro="">
          <xdr:nvGraphicFramePr>
            <xdr:cNvPr id="9" name="Channel 1">
              <a:extLst>
                <a:ext uri="{FF2B5EF4-FFF2-40B4-BE49-F238E27FC236}">
                  <a16:creationId xmlns:a16="http://schemas.microsoft.com/office/drawing/2014/main" id="{432026B8-6E90-425D-AE1E-C3C02C65217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8647112" y="1720851"/>
              <a:ext cx="18288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381000</xdr:colOff>
      <xdr:row>0</xdr:row>
      <xdr:rowOff>101600</xdr:rowOff>
    </xdr:from>
    <xdr:to>
      <xdr:col>18</xdr:col>
      <xdr:colOff>444500</xdr:colOff>
      <xdr:row>29</xdr:row>
      <xdr:rowOff>95250</xdr:rowOff>
    </xdr:to>
    <xdr:sp macro="" textlink="">
      <xdr:nvSpPr>
        <xdr:cNvPr id="2" name="Rectangle: Rounded Corners 1">
          <a:extLst>
            <a:ext uri="{FF2B5EF4-FFF2-40B4-BE49-F238E27FC236}">
              <a16:creationId xmlns:a16="http://schemas.microsoft.com/office/drawing/2014/main" id="{B3B72310-7D58-484D-A045-68201C5E52F2}"/>
            </a:ext>
          </a:extLst>
        </xdr:cNvPr>
        <xdr:cNvSpPr/>
      </xdr:nvSpPr>
      <xdr:spPr>
        <a:xfrm>
          <a:off x="381000" y="101600"/>
          <a:ext cx="11036300" cy="53340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xdr:colOff>
      <xdr:row>2</xdr:row>
      <xdr:rowOff>120650</xdr:rowOff>
    </xdr:from>
    <xdr:to>
      <xdr:col>4</xdr:col>
      <xdr:colOff>209550</xdr:colOff>
      <xdr:row>7</xdr:row>
      <xdr:rowOff>82550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83E6A5B-870C-4731-B713-DF74CE2E09D2}"/>
            </a:ext>
          </a:extLst>
        </xdr:cNvPr>
        <xdr:cNvSpPr/>
      </xdr:nvSpPr>
      <xdr:spPr>
        <a:xfrm>
          <a:off x="666750" y="488950"/>
          <a:ext cx="1981200" cy="882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Home</a:t>
          </a:r>
        </a:p>
      </xdr:txBody>
    </xdr:sp>
    <xdr:clientData/>
  </xdr:twoCellAnchor>
  <xdr:twoCellAnchor>
    <xdr:from>
      <xdr:col>1</xdr:col>
      <xdr:colOff>107950</xdr:colOff>
      <xdr:row>22</xdr:row>
      <xdr:rowOff>165100</xdr:rowOff>
    </xdr:from>
    <xdr:to>
      <xdr:col>4</xdr:col>
      <xdr:colOff>260350</xdr:colOff>
      <xdr:row>27</xdr:row>
      <xdr:rowOff>19050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2E64D52-01BB-4EB5-9E72-7D736EFF5908}"/>
            </a:ext>
          </a:extLst>
        </xdr:cNvPr>
        <xdr:cNvSpPr/>
      </xdr:nvSpPr>
      <xdr:spPr>
        <a:xfrm>
          <a:off x="717550" y="4216400"/>
          <a:ext cx="1981200" cy="774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Conversions</a:t>
          </a:r>
        </a:p>
      </xdr:txBody>
    </xdr:sp>
    <xdr:clientData/>
  </xdr:twoCellAnchor>
  <xdr:twoCellAnchor>
    <xdr:from>
      <xdr:col>1</xdr:col>
      <xdr:colOff>69850</xdr:colOff>
      <xdr:row>16</xdr:row>
      <xdr:rowOff>76200</xdr:rowOff>
    </xdr:from>
    <xdr:to>
      <xdr:col>4</xdr:col>
      <xdr:colOff>222250</xdr:colOff>
      <xdr:row>20</xdr:row>
      <xdr:rowOff>139700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3D284DDC-F2FC-4F6F-A89D-06691C77C688}"/>
            </a:ext>
          </a:extLst>
        </xdr:cNvPr>
        <xdr:cNvSpPr/>
      </xdr:nvSpPr>
      <xdr:spPr>
        <a:xfrm>
          <a:off x="679450" y="3022600"/>
          <a:ext cx="19812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ROI</a:t>
          </a:r>
        </a:p>
      </xdr:txBody>
    </xdr:sp>
    <xdr:clientData/>
  </xdr:twoCellAnchor>
  <xdr:twoCellAnchor>
    <xdr:from>
      <xdr:col>1</xdr:col>
      <xdr:colOff>50800</xdr:colOff>
      <xdr:row>9</xdr:row>
      <xdr:rowOff>69850</xdr:rowOff>
    </xdr:from>
    <xdr:to>
      <xdr:col>4</xdr:col>
      <xdr:colOff>203200</xdr:colOff>
      <xdr:row>13</xdr:row>
      <xdr:rowOff>177800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B5A611AB-FE38-4AB5-ADDD-83655C4D999B}"/>
            </a:ext>
          </a:extLst>
        </xdr:cNvPr>
        <xdr:cNvSpPr/>
      </xdr:nvSpPr>
      <xdr:spPr>
        <a:xfrm>
          <a:off x="660400" y="1727200"/>
          <a:ext cx="1981200" cy="844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Engagement Rate</a:t>
          </a:r>
        </a:p>
      </xdr:txBody>
    </xdr:sp>
    <xdr:clientData/>
  </xdr:twoCellAnchor>
  <xdr:twoCellAnchor>
    <xdr:from>
      <xdr:col>4</xdr:col>
      <xdr:colOff>355600</xdr:colOff>
      <xdr:row>1</xdr:row>
      <xdr:rowOff>107950</xdr:rowOff>
    </xdr:from>
    <xdr:to>
      <xdr:col>18</xdr:col>
      <xdr:colOff>273050</xdr:colOff>
      <xdr:row>29</xdr:row>
      <xdr:rowOff>0</xdr:rowOff>
    </xdr:to>
    <xdr:sp macro="" textlink="">
      <xdr:nvSpPr>
        <xdr:cNvPr id="7" name="Rectangle: Rounded Corners 6">
          <a:extLst>
            <a:ext uri="{FF2B5EF4-FFF2-40B4-BE49-F238E27FC236}">
              <a16:creationId xmlns:a16="http://schemas.microsoft.com/office/drawing/2014/main" id="{03FFF82B-B88B-4A7C-A7E5-7E195ED4A2EC}"/>
            </a:ext>
          </a:extLst>
        </xdr:cNvPr>
        <xdr:cNvSpPr/>
      </xdr:nvSpPr>
      <xdr:spPr>
        <a:xfrm>
          <a:off x="2794000" y="292100"/>
          <a:ext cx="8451850" cy="50482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2</xdr:row>
      <xdr:rowOff>6350</xdr:rowOff>
    </xdr:from>
    <xdr:to>
      <xdr:col>15</xdr:col>
      <xdr:colOff>254000</xdr:colOff>
      <xdr:row>28</xdr:row>
      <xdr:rowOff>69849</xdr:rowOff>
    </xdr:to>
    <xdr:graphicFrame macro="">
      <xdr:nvGraphicFramePr>
        <xdr:cNvPr id="8" name="Chart 7">
          <a:extLst>
            <a:ext uri="{FF2B5EF4-FFF2-40B4-BE49-F238E27FC236}">
              <a16:creationId xmlns:a16="http://schemas.microsoft.com/office/drawing/2014/main" id="{ED94AE60-38B4-4B73-A101-CEBB40995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492126</xdr:colOff>
      <xdr:row>5</xdr:row>
      <xdr:rowOff>88900</xdr:rowOff>
    </xdr:from>
    <xdr:to>
      <xdr:col>18</xdr:col>
      <xdr:colOff>63500</xdr:colOff>
      <xdr:row>25</xdr:row>
      <xdr:rowOff>50800</xdr:rowOff>
    </xdr:to>
    <mc:AlternateContent xmlns:mc="http://schemas.openxmlformats.org/markup-compatibility/2006" xmlns:a14="http://schemas.microsoft.com/office/drawing/2010/main">
      <mc:Choice Requires="a14">
        <xdr:graphicFrame macro="">
          <xdr:nvGraphicFramePr>
            <xdr:cNvPr id="9" name="Campaign ID 3">
              <a:extLst>
                <a:ext uri="{FF2B5EF4-FFF2-40B4-BE49-F238E27FC236}">
                  <a16:creationId xmlns:a16="http://schemas.microsoft.com/office/drawing/2014/main" id="{F7056B6E-881F-4C38-A264-EDAA7B0D6D45}"/>
                </a:ext>
              </a:extLst>
            </xdr:cNvPr>
            <xdr:cNvGraphicFramePr/>
          </xdr:nvGraphicFramePr>
          <xdr:xfrm>
            <a:off x="0" y="0"/>
            <a:ext cx="0" cy="0"/>
          </xdr:xfrm>
          <a:graphic>
            <a:graphicData uri="http://schemas.microsoft.com/office/drawing/2010/slicer">
              <sle:slicer xmlns:sle="http://schemas.microsoft.com/office/drawing/2010/slicer" name="Campaign ID 3"/>
            </a:graphicData>
          </a:graphic>
        </xdr:graphicFrame>
      </mc:Choice>
      <mc:Fallback xmlns="">
        <xdr:sp macro="" textlink="">
          <xdr:nvSpPr>
            <xdr:cNvPr id="0" name=""/>
            <xdr:cNvSpPr>
              <a:spLocks noTextEdit="1"/>
            </xdr:cNvSpPr>
          </xdr:nvSpPr>
          <xdr:spPr>
            <a:xfrm>
              <a:off x="9636126" y="1009650"/>
              <a:ext cx="1400174"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v" refreshedDate="45771.514806828702" createdVersion="8" refreshedVersion="8" minRefreshableVersion="3" recordCount="50" xr:uid="{D953C914-BD0A-4B23-8C2C-04F59FC2D5B0}">
  <cacheSource type="worksheet">
    <worksheetSource ref="A1:G51" sheet="Data"/>
  </cacheSource>
  <cacheFields count="7">
    <cacheField name="Campaign ID" numFmtId="0">
      <sharedItems count="50">
        <s v="CAMP001"/>
        <s v="CAMP002"/>
        <s v="CAMP003"/>
        <s v="CAMP004"/>
        <s v="CAMP005"/>
        <s v="CAMP006"/>
        <s v="CAMP007"/>
        <s v="CAMP008"/>
        <s v="CAMP009"/>
        <s v="CAMP010"/>
        <s v="CAMP011"/>
        <s v="CAMP012"/>
        <s v="CAMP013"/>
        <s v="CAMP014"/>
        <s v="CAMP015"/>
        <s v="CAMP016"/>
        <s v="CAMP017"/>
        <s v="CAMP018"/>
        <s v="CAMP019"/>
        <s v="CAMP020"/>
        <s v="CAMP021"/>
        <s v="CAMP022"/>
        <s v="CAMP023"/>
        <s v="CAMP024"/>
        <s v="CAMP025"/>
        <s v="CAMP026"/>
        <s v="CAMP027"/>
        <s v="CAMP028"/>
        <s v="CAMP029"/>
        <s v="CAMP030"/>
        <s v="CAMP031"/>
        <s v="CAMP032"/>
        <s v="CAMP033"/>
        <s v="CAMP034"/>
        <s v="CAMP035"/>
        <s v="CAMP036"/>
        <s v="CAMP037"/>
        <s v="CAMP038"/>
        <s v="CAMP039"/>
        <s v="CAMP040"/>
        <s v="CAMP041"/>
        <s v="CAMP042"/>
        <s v="CAMP043"/>
        <s v="CAMP044"/>
        <s v="CAMP045"/>
        <s v="CAMP046"/>
        <s v="CAMP047"/>
        <s v="CAMP048"/>
        <s v="CAMP049"/>
        <s v="CAMP050"/>
      </sharedItems>
    </cacheField>
    <cacheField name="Channel" numFmtId="0">
      <sharedItems count="4">
        <s v="Social Media"/>
        <s v="Email"/>
        <s v="TV"/>
        <s v="Radio"/>
      </sharedItems>
    </cacheField>
    <cacheField name="Budget (USD)" numFmtId="0">
      <sharedItems containsSemiMixedTypes="0" containsString="0" containsNumber="1" containsInteger="1" minValue="2376" maxValue="49908" count="50">
        <n v="15571"/>
        <n v="43719"/>
        <n v="29927"/>
        <n v="21714"/>
        <n v="44541"/>
        <n v="24387"/>
        <n v="29444"/>
        <n v="49908"/>
        <n v="20921"/>
        <n v="14057"/>
        <n v="46268"/>
        <n v="25858"/>
        <n v="49689"/>
        <n v="45638"/>
        <n v="27062"/>
        <n v="37850"/>
        <n v="47486"/>
        <n v="21567"/>
        <n v="30739"/>
        <n v="44285"/>
        <n v="4754"/>
        <n v="28044"/>
        <n v="2724"/>
        <n v="2376"/>
        <n v="9706"/>
        <n v="9894"/>
        <n v="19037"/>
        <n v="19450"/>
        <n v="17406"/>
        <n v="30725"/>
        <n v="6926"/>
        <n v="40019"/>
        <n v="10496"/>
        <n v="37068"/>
        <n v="30806"/>
        <n v="23663"/>
        <n v="42321"/>
        <n v="37495"/>
        <n v="23656"/>
        <n v="26860"/>
        <n v="17832"/>
        <n v="39787"/>
        <n v="49231"/>
        <n v="22727"/>
        <n v="43815"/>
        <n v="30545"/>
        <n v="45522"/>
        <n v="3520"/>
        <n v="4081"/>
        <n v="35196"/>
      </sharedItems>
    </cacheField>
    <cacheField name="Reach" numFmtId="0">
      <sharedItems containsSemiMixedTypes="0" containsString="0" containsNumber="1" containsInteger="1" minValue="3023" maxValue="95733"/>
    </cacheField>
    <cacheField name="Conversions" numFmtId="0">
      <sharedItems containsSemiMixedTypes="0" containsString="0" containsNumber="1" containsInteger="1" minValue="261" maxValue="9618" count="50">
        <n v="4531"/>
        <n v="6941"/>
        <n v="6743"/>
        <n v="4059"/>
        <n v="261"/>
        <n v="693"/>
        <n v="3490"/>
        <n v="6097"/>
        <n v="6454"/>
        <n v="763"/>
        <n v="9424"/>
        <n v="641"/>
        <n v="5533"/>
        <n v="5193"/>
        <n v="967"/>
        <n v="8723"/>
        <n v="5569"/>
        <n v="6356"/>
        <n v="9498"/>
        <n v="1269"/>
        <n v="930"/>
        <n v="1751"/>
        <n v="1236"/>
        <n v="2910"/>
        <n v="8767"/>
        <n v="9618"/>
        <n v="1119"/>
        <n v="5337"/>
        <n v="1383"/>
        <n v="759"/>
        <n v="2110"/>
        <n v="8690"/>
        <n v="1833"/>
        <n v="2225"/>
        <n v="2271"/>
        <n v="8366"/>
        <n v="3571"/>
        <n v="9128"/>
        <n v="5724"/>
        <n v="8791"/>
        <n v="8429"/>
        <n v="2197"/>
        <n v="5168"/>
        <n v="6497"/>
        <n v="2857"/>
        <n v="4020"/>
        <n v="8286"/>
        <n v="2000"/>
        <n v="2710"/>
        <n v="7000"/>
      </sharedItems>
    </cacheField>
    <cacheField name="Engagement Rate (%)" numFmtId="0">
      <sharedItems containsSemiMixedTypes="0" containsString="0" containsNumber="1" minValue="0.6" maxValue="14.64"/>
    </cacheField>
    <cacheField name="ROI (%)" numFmtId="0">
      <sharedItems containsSemiMixedTypes="0" containsString="0" containsNumber="1" minValue="-16.05" maxValue="195.71"/>
    </cacheField>
  </cacheFields>
  <extLst>
    <ext xmlns:x14="http://schemas.microsoft.com/office/spreadsheetml/2009/9/main" uri="{725AE2AE-9491-48be-B2B4-4EB974FC3084}">
      <x14:pivotCacheDefinition pivotCacheId="5110157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v" refreshedDate="45771.539963425923" createdVersion="8" refreshedVersion="8" minRefreshableVersion="3" recordCount="50" xr:uid="{665F72AE-E024-4FB6-B658-3502E1B5AD79}">
  <cacheSource type="worksheet">
    <worksheetSource ref="A1:H51" sheet="Data"/>
  </cacheSource>
  <cacheFields count="8">
    <cacheField name="Campaign ID" numFmtId="0">
      <sharedItems count="50">
        <s v="CAMP001"/>
        <s v="CAMP002"/>
        <s v="CAMP003"/>
        <s v="CAMP004"/>
        <s v="CAMP005"/>
        <s v="CAMP006"/>
        <s v="CAMP007"/>
        <s v="CAMP008"/>
        <s v="CAMP009"/>
        <s v="CAMP010"/>
        <s v="CAMP011"/>
        <s v="CAMP012"/>
        <s v="CAMP013"/>
        <s v="CAMP014"/>
        <s v="CAMP015"/>
        <s v="CAMP016"/>
        <s v="CAMP017"/>
        <s v="CAMP018"/>
        <s v="CAMP019"/>
        <s v="CAMP020"/>
        <s v="CAMP021"/>
        <s v="CAMP022"/>
        <s v="CAMP023"/>
        <s v="CAMP024"/>
        <s v="CAMP025"/>
        <s v="CAMP026"/>
        <s v="CAMP027"/>
        <s v="CAMP028"/>
        <s v="CAMP029"/>
        <s v="CAMP030"/>
        <s v="CAMP031"/>
        <s v="CAMP032"/>
        <s v="CAMP033"/>
        <s v="CAMP034"/>
        <s v="CAMP035"/>
        <s v="CAMP036"/>
        <s v="CAMP037"/>
        <s v="CAMP038"/>
        <s v="CAMP039"/>
        <s v="CAMP040"/>
        <s v="CAMP041"/>
        <s v="CAMP042"/>
        <s v="CAMP043"/>
        <s v="CAMP044"/>
        <s v="CAMP045"/>
        <s v="CAMP046"/>
        <s v="CAMP047"/>
        <s v="CAMP048"/>
        <s v="CAMP049"/>
        <s v="CAMP050"/>
      </sharedItems>
    </cacheField>
    <cacheField name="Channel" numFmtId="0">
      <sharedItems/>
    </cacheField>
    <cacheField name="Budget (USD)" numFmtId="0">
      <sharedItems containsSemiMixedTypes="0" containsString="0" containsNumber="1" containsInteger="1" minValue="2376" maxValue="49908"/>
    </cacheField>
    <cacheField name="Reach" numFmtId="0">
      <sharedItems containsSemiMixedTypes="0" containsString="0" containsNumber="1" containsInteger="1" minValue="3023" maxValue="95733"/>
    </cacheField>
    <cacheField name="Conversions" numFmtId="0">
      <sharedItems containsSemiMixedTypes="0" containsString="0" containsNumber="1" containsInteger="1" minValue="261" maxValue="9618"/>
    </cacheField>
    <cacheField name="Engagement Rate (%)" numFmtId="0">
      <sharedItems containsSemiMixedTypes="0" containsString="0" containsNumber="1" minValue="0.6" maxValue="14.64"/>
    </cacheField>
    <cacheField name="ROI (%)" numFmtId="0">
      <sharedItems containsSemiMixedTypes="0" containsString="0" containsNumber="1" minValue="-16.05" maxValue="195.71"/>
    </cacheField>
    <cacheField name="cost per conservation" numFmtId="0">
      <sharedItems containsSemiMixedTypes="0" containsString="0" containsNumber="1" minValue="0.81649484536082473" maxValue="170.65517241379311"/>
    </cacheField>
  </cacheFields>
  <extLst>
    <ext xmlns:x14="http://schemas.microsoft.com/office/spreadsheetml/2009/9/main" uri="{725AE2AE-9491-48be-B2B4-4EB974FC3084}">
      <x14:pivotCacheDefinition pivotCacheId="820721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37735"/>
    <x v="0"/>
    <n v="1.31"/>
    <n v="117.37"/>
  </r>
  <r>
    <x v="1"/>
    <x v="1"/>
    <x v="1"/>
    <n v="81102"/>
    <x v="1"/>
    <n v="12.86"/>
    <n v="88.79"/>
  </r>
  <r>
    <x v="2"/>
    <x v="1"/>
    <x v="2"/>
    <n v="80578"/>
    <x v="2"/>
    <n v="3.77"/>
    <n v="195.5"/>
  </r>
  <r>
    <x v="3"/>
    <x v="1"/>
    <x v="3"/>
    <n v="26498"/>
    <x v="3"/>
    <n v="5.97"/>
    <n v="11.89"/>
  </r>
  <r>
    <x v="4"/>
    <x v="2"/>
    <x v="4"/>
    <n v="77865"/>
    <x v="4"/>
    <n v="7.2"/>
    <n v="139.53"/>
  </r>
  <r>
    <x v="5"/>
    <x v="0"/>
    <x v="5"/>
    <n v="32656"/>
    <x v="5"/>
    <n v="7.47"/>
    <n v="22.06"/>
  </r>
  <r>
    <x v="6"/>
    <x v="2"/>
    <x v="6"/>
    <n v="68695"/>
    <x v="6"/>
    <n v="6.81"/>
    <n v="54.42"/>
  </r>
  <r>
    <x v="7"/>
    <x v="1"/>
    <x v="7"/>
    <n v="38900"/>
    <x v="7"/>
    <n v="14.09"/>
    <n v="47.91"/>
  </r>
  <r>
    <x v="8"/>
    <x v="3"/>
    <x v="8"/>
    <n v="85899"/>
    <x v="8"/>
    <n v="10.74"/>
    <n v="188.35"/>
  </r>
  <r>
    <x v="9"/>
    <x v="2"/>
    <x v="9"/>
    <n v="48701"/>
    <x v="9"/>
    <n v="9.65"/>
    <n v="192.82"/>
  </r>
  <r>
    <x v="10"/>
    <x v="1"/>
    <x v="10"/>
    <n v="20033"/>
    <x v="10"/>
    <n v="1.22"/>
    <n v="20.260000000000002"/>
  </r>
  <r>
    <x v="11"/>
    <x v="0"/>
    <x v="11"/>
    <n v="11805"/>
    <x v="11"/>
    <n v="13.61"/>
    <n v="-15.15"/>
  </r>
  <r>
    <x v="12"/>
    <x v="3"/>
    <x v="12"/>
    <n v="36851"/>
    <x v="12"/>
    <n v="13.69"/>
    <n v="138.4"/>
  </r>
  <r>
    <x v="13"/>
    <x v="0"/>
    <x v="13"/>
    <n v="27832"/>
    <x v="13"/>
    <n v="11.81"/>
    <n v="71.959999999999994"/>
  </r>
  <r>
    <x v="14"/>
    <x v="1"/>
    <x v="14"/>
    <n v="64437"/>
    <x v="14"/>
    <n v="0.6"/>
    <n v="-0.46"/>
  </r>
  <r>
    <x v="15"/>
    <x v="3"/>
    <x v="15"/>
    <n v="14944"/>
    <x v="15"/>
    <n v="1.33"/>
    <n v="130.43"/>
  </r>
  <r>
    <x v="16"/>
    <x v="3"/>
    <x v="16"/>
    <n v="20873"/>
    <x v="16"/>
    <n v="3.77"/>
    <n v="99.92"/>
  </r>
  <r>
    <x v="17"/>
    <x v="2"/>
    <x v="17"/>
    <n v="41372"/>
    <x v="17"/>
    <n v="2.4"/>
    <n v="195.71"/>
  </r>
  <r>
    <x v="18"/>
    <x v="0"/>
    <x v="18"/>
    <n v="90464"/>
    <x v="18"/>
    <n v="6.28"/>
    <n v="30.03"/>
  </r>
  <r>
    <x v="19"/>
    <x v="0"/>
    <x v="19"/>
    <n v="16379"/>
    <x v="19"/>
    <n v="13.88"/>
    <n v="68.88"/>
  </r>
  <r>
    <x v="20"/>
    <x v="3"/>
    <x v="20"/>
    <n v="37751"/>
    <x v="20"/>
    <n v="7.34"/>
    <n v="99.36"/>
  </r>
  <r>
    <x v="21"/>
    <x v="3"/>
    <x v="21"/>
    <n v="90822"/>
    <x v="21"/>
    <n v="0.69"/>
    <n v="154.16999999999999"/>
  </r>
  <r>
    <x v="22"/>
    <x v="2"/>
    <x v="22"/>
    <n v="6110"/>
    <x v="22"/>
    <n v="4.5999999999999996"/>
    <n v="100.74"/>
  </r>
  <r>
    <x v="23"/>
    <x v="2"/>
    <x v="23"/>
    <n v="55341"/>
    <x v="23"/>
    <n v="1.1499999999999999"/>
    <n v="114.84"/>
  </r>
  <r>
    <x v="24"/>
    <x v="0"/>
    <x v="24"/>
    <n v="13087"/>
    <x v="24"/>
    <n v="1.03"/>
    <n v="29.75"/>
  </r>
  <r>
    <x v="25"/>
    <x v="0"/>
    <x v="25"/>
    <n v="24762"/>
    <x v="25"/>
    <n v="4.5"/>
    <n v="166.32"/>
  </r>
  <r>
    <x v="26"/>
    <x v="2"/>
    <x v="26"/>
    <n v="83617"/>
    <x v="26"/>
    <n v="4.5"/>
    <n v="74.3"/>
  </r>
  <r>
    <x v="27"/>
    <x v="3"/>
    <x v="27"/>
    <n v="10596"/>
    <x v="27"/>
    <n v="11.91"/>
    <n v="11.01"/>
  </r>
  <r>
    <x v="28"/>
    <x v="0"/>
    <x v="28"/>
    <n v="19313"/>
    <x v="28"/>
    <n v="14.64"/>
    <n v="126.12"/>
  </r>
  <r>
    <x v="29"/>
    <x v="2"/>
    <x v="29"/>
    <n v="67549"/>
    <x v="29"/>
    <n v="5.88"/>
    <n v="27.54"/>
  </r>
  <r>
    <x v="30"/>
    <x v="1"/>
    <x v="30"/>
    <n v="24705"/>
    <x v="30"/>
    <n v="6.72"/>
    <n v="1.46"/>
  </r>
  <r>
    <x v="31"/>
    <x v="1"/>
    <x v="31"/>
    <n v="68364"/>
    <x v="31"/>
    <n v="12.75"/>
    <n v="169.64"/>
  </r>
  <r>
    <x v="32"/>
    <x v="3"/>
    <x v="32"/>
    <n v="74445"/>
    <x v="32"/>
    <n v="4.3899999999999997"/>
    <n v="81.239999999999995"/>
  </r>
  <r>
    <x v="33"/>
    <x v="1"/>
    <x v="33"/>
    <n v="79645"/>
    <x v="33"/>
    <n v="2.77"/>
    <n v="144.84"/>
  </r>
  <r>
    <x v="34"/>
    <x v="3"/>
    <x v="34"/>
    <n v="3023"/>
    <x v="34"/>
    <n v="12.87"/>
    <n v="43.93"/>
  </r>
  <r>
    <x v="35"/>
    <x v="0"/>
    <x v="35"/>
    <n v="60796"/>
    <x v="35"/>
    <n v="1.17"/>
    <n v="153.13"/>
  </r>
  <r>
    <x v="36"/>
    <x v="2"/>
    <x v="36"/>
    <n v="81073"/>
    <x v="36"/>
    <n v="9.49"/>
    <n v="4.63"/>
  </r>
  <r>
    <x v="37"/>
    <x v="3"/>
    <x v="37"/>
    <n v="93197"/>
    <x v="37"/>
    <n v="8.65"/>
    <n v="58.31"/>
  </r>
  <r>
    <x v="38"/>
    <x v="0"/>
    <x v="38"/>
    <n v="65429"/>
    <x v="38"/>
    <n v="5.52"/>
    <n v="195.17"/>
  </r>
  <r>
    <x v="39"/>
    <x v="0"/>
    <x v="39"/>
    <n v="62627"/>
    <x v="39"/>
    <n v="5.07"/>
    <n v="154.68"/>
  </r>
  <r>
    <x v="40"/>
    <x v="2"/>
    <x v="40"/>
    <n v="34848"/>
    <x v="40"/>
    <n v="11.69"/>
    <n v="89.4"/>
  </r>
  <r>
    <x v="41"/>
    <x v="3"/>
    <x v="41"/>
    <n v="38804"/>
    <x v="41"/>
    <n v="1.75"/>
    <n v="54.75"/>
  </r>
  <r>
    <x v="42"/>
    <x v="2"/>
    <x v="42"/>
    <n v="16379"/>
    <x v="42"/>
    <n v="3.93"/>
    <n v="171.87"/>
  </r>
  <r>
    <x v="43"/>
    <x v="2"/>
    <x v="43"/>
    <n v="60664"/>
    <x v="43"/>
    <n v="11.12"/>
    <n v="99.87"/>
  </r>
  <r>
    <x v="44"/>
    <x v="0"/>
    <x v="44"/>
    <n v="28766"/>
    <x v="44"/>
    <n v="8.4499999999999993"/>
    <n v="146.85"/>
  </r>
  <r>
    <x v="45"/>
    <x v="3"/>
    <x v="45"/>
    <n v="69099"/>
    <x v="45"/>
    <n v="2.36"/>
    <n v="145.9"/>
  </r>
  <r>
    <x v="46"/>
    <x v="1"/>
    <x v="46"/>
    <n v="37060"/>
    <x v="46"/>
    <n v="13.29"/>
    <n v="-16.05"/>
  </r>
  <r>
    <x v="47"/>
    <x v="2"/>
    <x v="47"/>
    <n v="95733"/>
    <x v="47"/>
    <n v="6.2"/>
    <n v="7.78"/>
  </r>
  <r>
    <x v="48"/>
    <x v="0"/>
    <x v="48"/>
    <n v="70122"/>
    <x v="48"/>
    <n v="12.5"/>
    <n v="125.12"/>
  </r>
  <r>
    <x v="49"/>
    <x v="2"/>
    <x v="49"/>
    <n v="17087"/>
    <x v="49"/>
    <n v="11.92"/>
    <n v="15.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Social Media"/>
    <n v="15571"/>
    <n v="37735"/>
    <n v="4531"/>
    <n v="1.31"/>
    <n v="117.37"/>
    <n v="3.436548223350254"/>
  </r>
  <r>
    <x v="1"/>
    <s v="Email"/>
    <n v="43719"/>
    <n v="81102"/>
    <n v="6941"/>
    <n v="12.86"/>
    <n v="88.79"/>
    <n v="6.2986601354271716"/>
  </r>
  <r>
    <x v="2"/>
    <s v="Email"/>
    <n v="29927"/>
    <n v="80578"/>
    <n v="6743"/>
    <n v="3.77"/>
    <n v="195.5"/>
    <n v="4.4382322408423551"/>
  </r>
  <r>
    <x v="3"/>
    <s v="Email"/>
    <n v="21714"/>
    <n v="26498"/>
    <n v="4059"/>
    <n v="5.97"/>
    <n v="11.89"/>
    <n v="5.3495934959349594"/>
  </r>
  <r>
    <x v="4"/>
    <s v="TV"/>
    <n v="44541"/>
    <n v="77865"/>
    <n v="261"/>
    <n v="7.2"/>
    <n v="139.53"/>
    <n v="170.65517241379311"/>
  </r>
  <r>
    <x v="5"/>
    <s v="Social Media"/>
    <n v="24387"/>
    <n v="32656"/>
    <n v="693"/>
    <n v="7.47"/>
    <n v="22.06"/>
    <n v="35.19047619047619"/>
  </r>
  <r>
    <x v="6"/>
    <s v="TV"/>
    <n v="29444"/>
    <n v="68695"/>
    <n v="3490"/>
    <n v="6.81"/>
    <n v="54.42"/>
    <n v="8.4366762177650436"/>
  </r>
  <r>
    <x v="7"/>
    <s v="Email"/>
    <n v="49908"/>
    <n v="38900"/>
    <n v="6097"/>
    <n v="14.09"/>
    <n v="47.91"/>
    <n v="8.1856650811874694"/>
  </r>
  <r>
    <x v="8"/>
    <s v="Radio"/>
    <n v="20921"/>
    <n v="85899"/>
    <n v="6454"/>
    <n v="10.74"/>
    <n v="188.35"/>
    <n v="3.2415556244189649"/>
  </r>
  <r>
    <x v="9"/>
    <s v="TV"/>
    <n v="14057"/>
    <n v="48701"/>
    <n v="763"/>
    <n v="9.65"/>
    <n v="192.82"/>
    <n v="18.423328964613368"/>
  </r>
  <r>
    <x v="10"/>
    <s v="Email"/>
    <n v="46268"/>
    <n v="20033"/>
    <n v="9424"/>
    <n v="1.22"/>
    <n v="20.260000000000002"/>
    <n v="4.9095925297113752"/>
  </r>
  <r>
    <x v="11"/>
    <s v="Social Media"/>
    <n v="25858"/>
    <n v="11805"/>
    <n v="641"/>
    <n v="13.61"/>
    <n v="-15.15"/>
    <n v="40.340093603744151"/>
  </r>
  <r>
    <x v="12"/>
    <s v="Radio"/>
    <n v="49689"/>
    <n v="36851"/>
    <n v="5533"/>
    <n v="13.69"/>
    <n v="138.4"/>
    <n v="8.9804807518525216"/>
  </r>
  <r>
    <x v="13"/>
    <s v="Social Media"/>
    <n v="45638"/>
    <n v="27832"/>
    <n v="5193"/>
    <n v="11.81"/>
    <n v="71.959999999999994"/>
    <n v="8.7883689582129794"/>
  </r>
  <r>
    <x v="14"/>
    <s v="Email"/>
    <n v="27062"/>
    <n v="64437"/>
    <n v="967"/>
    <n v="0.6"/>
    <n v="-0.46"/>
    <n v="27.985522233712512"/>
  </r>
  <r>
    <x v="15"/>
    <s v="Radio"/>
    <n v="37850"/>
    <n v="14944"/>
    <n v="8723"/>
    <n v="1.33"/>
    <n v="130.43"/>
    <n v="4.3391035194313883"/>
  </r>
  <r>
    <x v="16"/>
    <s v="Radio"/>
    <n v="47486"/>
    <n v="20873"/>
    <n v="5569"/>
    <n v="3.77"/>
    <n v="99.92"/>
    <n v="8.5268450350152634"/>
  </r>
  <r>
    <x v="17"/>
    <s v="TV"/>
    <n v="21567"/>
    <n v="41372"/>
    <n v="6356"/>
    <n v="2.4"/>
    <n v="195.71"/>
    <n v="3.393171806167401"/>
  </r>
  <r>
    <x v="18"/>
    <s v="Social Media"/>
    <n v="30739"/>
    <n v="90464"/>
    <n v="9498"/>
    <n v="6.28"/>
    <n v="30.03"/>
    <n v="3.2363655506422404"/>
  </r>
  <r>
    <x v="19"/>
    <s v="Social Media"/>
    <n v="44285"/>
    <n v="16379"/>
    <n v="1269"/>
    <n v="13.88"/>
    <n v="68.88"/>
    <n v="34.897557131599683"/>
  </r>
  <r>
    <x v="20"/>
    <s v="Radio"/>
    <n v="4754"/>
    <n v="37751"/>
    <n v="930"/>
    <n v="7.34"/>
    <n v="99.36"/>
    <n v="5.1118279569892477"/>
  </r>
  <r>
    <x v="21"/>
    <s v="Radio"/>
    <n v="28044"/>
    <n v="90822"/>
    <n v="1751"/>
    <n v="0.69"/>
    <n v="154.16999999999999"/>
    <n v="16.015990862364362"/>
  </r>
  <r>
    <x v="22"/>
    <s v="TV"/>
    <n v="2724"/>
    <n v="6110"/>
    <n v="1236"/>
    <n v="4.5999999999999996"/>
    <n v="100.74"/>
    <n v="2.203883495145631"/>
  </r>
  <r>
    <x v="23"/>
    <s v="TV"/>
    <n v="2376"/>
    <n v="55341"/>
    <n v="2910"/>
    <n v="1.1499999999999999"/>
    <n v="114.84"/>
    <n v="0.81649484536082473"/>
  </r>
  <r>
    <x v="24"/>
    <s v="Social Media"/>
    <n v="9706"/>
    <n v="13087"/>
    <n v="8767"/>
    <n v="1.03"/>
    <n v="29.75"/>
    <n v="1.1071061936808486"/>
  </r>
  <r>
    <x v="25"/>
    <s v="Social Media"/>
    <n v="9894"/>
    <n v="24762"/>
    <n v="9618"/>
    <n v="4.5"/>
    <n v="166.32"/>
    <n v="1.0286961946350592"/>
  </r>
  <r>
    <x v="26"/>
    <s v="TV"/>
    <n v="19037"/>
    <n v="83617"/>
    <n v="1119"/>
    <n v="4.5"/>
    <n v="74.3"/>
    <n v="17.012511170688114"/>
  </r>
  <r>
    <x v="27"/>
    <s v="Radio"/>
    <n v="19450"/>
    <n v="10596"/>
    <n v="5337"/>
    <n v="11.91"/>
    <n v="11.01"/>
    <n v="3.6443694959715196"/>
  </r>
  <r>
    <x v="28"/>
    <s v="Social Media"/>
    <n v="17406"/>
    <n v="19313"/>
    <n v="1383"/>
    <n v="14.64"/>
    <n v="126.12"/>
    <n v="12.585683297180044"/>
  </r>
  <r>
    <x v="29"/>
    <s v="TV"/>
    <n v="30725"/>
    <n v="67549"/>
    <n v="759"/>
    <n v="5.88"/>
    <n v="27.54"/>
    <n v="40.480895915678524"/>
  </r>
  <r>
    <x v="30"/>
    <s v="Email"/>
    <n v="6926"/>
    <n v="24705"/>
    <n v="2110"/>
    <n v="6.72"/>
    <n v="1.46"/>
    <n v="3.2824644549763033"/>
  </r>
  <r>
    <x v="31"/>
    <s v="Email"/>
    <n v="40019"/>
    <n v="68364"/>
    <n v="8690"/>
    <n v="12.75"/>
    <n v="169.64"/>
    <n v="4.60517836593786"/>
  </r>
  <r>
    <x v="32"/>
    <s v="Radio"/>
    <n v="10496"/>
    <n v="74445"/>
    <n v="1833"/>
    <n v="4.3899999999999997"/>
    <n v="81.239999999999995"/>
    <n v="5.7261320240043645"/>
  </r>
  <r>
    <x v="33"/>
    <s v="Email"/>
    <n v="37068"/>
    <n v="79645"/>
    <n v="2225"/>
    <n v="2.77"/>
    <n v="144.84"/>
    <n v="16.659775280898877"/>
  </r>
  <r>
    <x v="34"/>
    <s v="Radio"/>
    <n v="30806"/>
    <n v="3023"/>
    <n v="2271"/>
    <n v="12.87"/>
    <n v="43.93"/>
    <n v="13.564949361514751"/>
  </r>
  <r>
    <x v="35"/>
    <s v="Social Media"/>
    <n v="23663"/>
    <n v="60796"/>
    <n v="8366"/>
    <n v="1.17"/>
    <n v="153.13"/>
    <n v="2.8284723882381066"/>
  </r>
  <r>
    <x v="36"/>
    <s v="TV"/>
    <n v="42321"/>
    <n v="81073"/>
    <n v="3571"/>
    <n v="9.49"/>
    <n v="4.63"/>
    <n v="11.85130215625875"/>
  </r>
  <r>
    <x v="37"/>
    <s v="Radio"/>
    <n v="37495"/>
    <n v="93197"/>
    <n v="9128"/>
    <n v="8.65"/>
    <n v="58.31"/>
    <n v="4.107690622261174"/>
  </r>
  <r>
    <x v="38"/>
    <s v="Social Media"/>
    <n v="23656"/>
    <n v="65429"/>
    <n v="5724"/>
    <n v="5.52"/>
    <n v="195.17"/>
    <n v="4.13277428371768"/>
  </r>
  <r>
    <x v="39"/>
    <s v="Social Media"/>
    <n v="26860"/>
    <n v="62627"/>
    <n v="8791"/>
    <n v="5.07"/>
    <n v="154.68"/>
    <n v="3.0553975656921852"/>
  </r>
  <r>
    <x v="40"/>
    <s v="TV"/>
    <n v="17832"/>
    <n v="34848"/>
    <n v="8429"/>
    <n v="11.69"/>
    <n v="89.4"/>
    <n v="2.115553446434927"/>
  </r>
  <r>
    <x v="41"/>
    <s v="Radio"/>
    <n v="39787"/>
    <n v="38804"/>
    <n v="2197"/>
    <n v="1.75"/>
    <n v="54.75"/>
    <n v="18.109695038689122"/>
  </r>
  <r>
    <x v="42"/>
    <s v="TV"/>
    <n v="49231"/>
    <n v="16379"/>
    <n v="5168"/>
    <n v="3.93"/>
    <n v="171.87"/>
    <n v="9.5261222910216716"/>
  </r>
  <r>
    <x v="43"/>
    <s v="TV"/>
    <n v="22727"/>
    <n v="60664"/>
    <n v="6497"/>
    <n v="11.12"/>
    <n v="99.87"/>
    <n v="3.4980760350931197"/>
  </r>
  <r>
    <x v="44"/>
    <s v="Social Media"/>
    <n v="43815"/>
    <n v="28766"/>
    <n v="2857"/>
    <n v="8.4499999999999993"/>
    <n v="146.85"/>
    <n v="15.336016800840042"/>
  </r>
  <r>
    <x v="45"/>
    <s v="Radio"/>
    <n v="30545"/>
    <n v="69099"/>
    <n v="4020"/>
    <n v="2.36"/>
    <n v="145.9"/>
    <n v="7.5982587064676617"/>
  </r>
  <r>
    <x v="46"/>
    <s v="Email"/>
    <n v="45522"/>
    <n v="37060"/>
    <n v="8286"/>
    <n v="13.29"/>
    <n v="-16.05"/>
    <n v="5.4938450398262129"/>
  </r>
  <r>
    <x v="47"/>
    <s v="TV"/>
    <n v="3520"/>
    <n v="95733"/>
    <n v="2000"/>
    <n v="6.2"/>
    <n v="7.78"/>
    <n v="1.76"/>
  </r>
  <r>
    <x v="48"/>
    <s v="Social Media"/>
    <n v="4081"/>
    <n v="70122"/>
    <n v="2710"/>
    <n v="12.5"/>
    <n v="125.12"/>
    <n v="1.5059040590405903"/>
  </r>
  <r>
    <x v="49"/>
    <s v="TV"/>
    <n v="35196"/>
    <n v="17087"/>
    <n v="7000"/>
    <n v="11.92"/>
    <n v="15.56"/>
    <n v="5.027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87D9B-CD2F-4F40-8B82-08D3C3248F1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3:B8" firstHeaderRow="1" firstDataRow="1" firstDataCol="1"/>
  <pivotFields count="7">
    <pivotField showAll="0"/>
    <pivotField axis="axisRow" showAll="0">
      <items count="5">
        <item x="1"/>
        <item x="3"/>
        <item x="0"/>
        <item x="2"/>
        <item t="default"/>
      </items>
    </pivotField>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Max of ROI (%)" fld="6" subtotal="max" baseField="1" baseItem="0"/>
  </dataFields>
  <chartFormats count="7">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4A921A-1D95-4EE0-8CCF-0AA5326FFA9C}"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A78:B129" firstHeaderRow="1" firstDataRow="1" firstDataCol="1"/>
  <pivotFields count="8">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cost per conservation" fld="7" baseField="0" baseItem="0"/>
  </dataField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1C953-101E-4FA7-BE3C-AB07C93CEB8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6:B67" firstHeaderRow="1" firstDataRow="1" firstDataCol="1"/>
  <pivotFields count="7">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1"/>
        <item x="3"/>
        <item x="0"/>
        <item x="2"/>
        <item t="default"/>
      </items>
    </pivotField>
    <pivotField showAll="0"/>
    <pivotField showAll="0"/>
    <pivotField showAll="0"/>
    <pivotField dataField="1"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Max of Engagement Rate (%)" fld="5" subtotal="max"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46063C7-ACAF-462D-A99C-7D5B3F2DD647}" sourceName="Channel">
  <pivotTables>
    <pivotTable tabId="4" name="PivotTable1"/>
  </pivotTables>
  <data>
    <tabular pivotCacheId="511015789">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 xr10:uid="{A6607B0A-4A98-458B-9EAB-EF76EC5E1ED2}" sourceName="Campaign ID">
  <pivotTables>
    <pivotTable tabId="4" name="PivotTable2"/>
  </pivotTables>
  <data>
    <tabular pivotCacheId="511015789">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1" xr10:uid="{41616FB5-318D-45A7-9F09-360E2A2288A8}" sourceName="Campaign ID">
  <pivotTables>
    <pivotTable tabId="4" name="PivotTable5"/>
  </pivotTables>
  <data>
    <tabular pivotCacheId="820721447">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BE38FDB6-79DC-432F-96C3-5EF64F71680E}" cache="Slicer_Channel" caption="Channel" rowHeight="241300"/>
  <slicer name="Campaign ID" xr10:uid="{B813CD94-4DC2-4DDB-9DED-A32E64C15EDE}" cache="Slicer_Campaign_ID" caption="Campaign ID" startItem="23" rowHeight="241300"/>
  <slicer name="Campaign ID 1" xr10:uid="{D830830C-64C5-4A26-BD5D-D77762F6B8A6}" cache="Slicer_Campaign_ID1" caption="Campaign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ID 2" xr10:uid="{68723789-ED09-4635-B458-BE45D8C63DEF}" cache="Slicer_Campaign_ID" caption="Campaign I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6F642488-F599-4424-BD0A-97086A4BBA05}" cache="Slicer_Channel" caption="Channe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ID 3" xr10:uid="{62038825-20BA-4A8C-B5A1-C47A8468099B}" cache="Slicer_Campaign_ID1" caption="Campaign ID"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1287-506E-4B81-A6BB-6E08752D22CB}">
  <dimension ref="A1:C8"/>
  <sheetViews>
    <sheetView workbookViewId="0">
      <selection activeCell="F22" sqref="F22"/>
    </sheetView>
  </sheetViews>
  <sheetFormatPr defaultRowHeight="14.5" x14ac:dyDescent="0.35"/>
  <cols>
    <col min="1" max="1" width="4.90625" bestFit="1" customWidth="1"/>
    <col min="2" max="2" width="14" bestFit="1" customWidth="1"/>
    <col min="3" max="3" width="11.81640625" bestFit="1" customWidth="1"/>
  </cols>
  <sheetData>
    <row r="1" spans="1:3" x14ac:dyDescent="0.35">
      <c r="A1" t="s">
        <v>73</v>
      </c>
      <c r="B1" t="s">
        <v>72</v>
      </c>
      <c r="C1" t="s">
        <v>74</v>
      </c>
    </row>
    <row r="3" spans="1:3" x14ac:dyDescent="0.35">
      <c r="A3">
        <v>1</v>
      </c>
      <c r="B3" t="s">
        <v>71</v>
      </c>
      <c r="C3">
        <v>24021022402</v>
      </c>
    </row>
    <row r="4" spans="1:3" x14ac:dyDescent="0.35">
      <c r="A4">
        <v>2</v>
      </c>
      <c r="B4" t="s">
        <v>75</v>
      </c>
      <c r="C4">
        <v>24021022409</v>
      </c>
    </row>
    <row r="5" spans="1:3" x14ac:dyDescent="0.35">
      <c r="A5">
        <v>3</v>
      </c>
      <c r="B5" t="s">
        <v>76</v>
      </c>
      <c r="C5">
        <v>24021022414</v>
      </c>
    </row>
    <row r="6" spans="1:3" x14ac:dyDescent="0.35">
      <c r="A6">
        <v>4</v>
      </c>
      <c r="B6" t="s">
        <v>77</v>
      </c>
      <c r="C6">
        <v>24021022407</v>
      </c>
    </row>
    <row r="7" spans="1:3" x14ac:dyDescent="0.35">
      <c r="A7">
        <v>5</v>
      </c>
      <c r="B7" t="s">
        <v>78</v>
      </c>
      <c r="C7">
        <v>24021022503</v>
      </c>
    </row>
    <row r="8" spans="1:3" x14ac:dyDescent="0.35">
      <c r="A8">
        <v>6</v>
      </c>
      <c r="B8" t="s">
        <v>79</v>
      </c>
      <c r="C8">
        <v>24021022502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workbookViewId="0">
      <selection activeCell="K18" sqref="K18"/>
    </sheetView>
  </sheetViews>
  <sheetFormatPr defaultRowHeight="14.5" x14ac:dyDescent="0.35"/>
  <cols>
    <col min="1" max="1" width="11.36328125" bestFit="1" customWidth="1"/>
    <col min="2" max="2" width="11.26953125" bestFit="1" customWidth="1"/>
    <col min="3" max="3" width="11.90625" bestFit="1" customWidth="1"/>
    <col min="4" max="4" width="5.81640625" bestFit="1" customWidth="1"/>
    <col min="5" max="5" width="11" bestFit="1" customWidth="1"/>
    <col min="6" max="6" width="18.81640625" bestFit="1" customWidth="1"/>
    <col min="7" max="7" width="7" bestFit="1" customWidth="1"/>
    <col min="8" max="8" width="19" bestFit="1" customWidth="1"/>
  </cols>
  <sheetData>
    <row r="1" spans="1:8" x14ac:dyDescent="0.35">
      <c r="A1" s="1" t="s">
        <v>0</v>
      </c>
      <c r="B1" s="1" t="s">
        <v>1</v>
      </c>
      <c r="C1" s="1" t="s">
        <v>2</v>
      </c>
      <c r="D1" s="1" t="s">
        <v>3</v>
      </c>
      <c r="E1" s="1" t="s">
        <v>4</v>
      </c>
      <c r="F1" s="1" t="s">
        <v>5</v>
      </c>
      <c r="G1" s="1" t="s">
        <v>6</v>
      </c>
      <c r="H1" s="4" t="s">
        <v>69</v>
      </c>
    </row>
    <row r="2" spans="1:8" x14ac:dyDescent="0.35">
      <c r="A2" t="s">
        <v>7</v>
      </c>
      <c r="B2" t="s">
        <v>57</v>
      </c>
      <c r="C2">
        <v>15571</v>
      </c>
      <c r="D2">
        <v>37735</v>
      </c>
      <c r="E2">
        <v>4531</v>
      </c>
      <c r="F2">
        <v>1.31</v>
      </c>
      <c r="G2">
        <v>117.37</v>
      </c>
      <c r="H2">
        <f>C2/E2</f>
        <v>3.436548223350254</v>
      </c>
    </row>
    <row r="3" spans="1:8" x14ac:dyDescent="0.35">
      <c r="A3" t="s">
        <v>8</v>
      </c>
      <c r="B3" t="s">
        <v>58</v>
      </c>
      <c r="C3">
        <v>43719</v>
      </c>
      <c r="D3">
        <v>81102</v>
      </c>
      <c r="E3">
        <v>6941</v>
      </c>
      <c r="F3">
        <v>12.86</v>
      </c>
      <c r="G3">
        <v>88.79</v>
      </c>
      <c r="H3">
        <f t="shared" ref="H3:H51" si="0">C3/E3</f>
        <v>6.2986601354271716</v>
      </c>
    </row>
    <row r="4" spans="1:8" x14ac:dyDescent="0.35">
      <c r="A4" t="s">
        <v>9</v>
      </c>
      <c r="B4" t="s">
        <v>58</v>
      </c>
      <c r="C4">
        <v>29927</v>
      </c>
      <c r="D4">
        <v>80578</v>
      </c>
      <c r="E4">
        <v>6743</v>
      </c>
      <c r="F4">
        <v>3.77</v>
      </c>
      <c r="G4">
        <v>195.5</v>
      </c>
      <c r="H4">
        <f t="shared" si="0"/>
        <v>4.4382322408423551</v>
      </c>
    </row>
    <row r="5" spans="1:8" x14ac:dyDescent="0.35">
      <c r="A5" t="s">
        <v>10</v>
      </c>
      <c r="B5" t="s">
        <v>58</v>
      </c>
      <c r="C5">
        <v>21714</v>
      </c>
      <c r="D5">
        <v>26498</v>
      </c>
      <c r="E5">
        <v>4059</v>
      </c>
      <c r="F5">
        <v>5.97</v>
      </c>
      <c r="G5">
        <v>11.89</v>
      </c>
      <c r="H5">
        <f t="shared" si="0"/>
        <v>5.3495934959349594</v>
      </c>
    </row>
    <row r="6" spans="1:8" x14ac:dyDescent="0.35">
      <c r="A6" t="s">
        <v>11</v>
      </c>
      <c r="B6" t="s">
        <v>59</v>
      </c>
      <c r="C6">
        <v>44541</v>
      </c>
      <c r="D6">
        <v>77865</v>
      </c>
      <c r="E6">
        <v>261</v>
      </c>
      <c r="F6">
        <v>7.2</v>
      </c>
      <c r="G6">
        <v>139.53</v>
      </c>
      <c r="H6">
        <f t="shared" si="0"/>
        <v>170.65517241379311</v>
      </c>
    </row>
    <row r="7" spans="1:8" x14ac:dyDescent="0.35">
      <c r="A7" t="s">
        <v>12</v>
      </c>
      <c r="B7" t="s">
        <v>57</v>
      </c>
      <c r="C7">
        <v>24387</v>
      </c>
      <c r="D7">
        <v>32656</v>
      </c>
      <c r="E7">
        <v>693</v>
      </c>
      <c r="F7">
        <v>7.47</v>
      </c>
      <c r="G7">
        <v>22.06</v>
      </c>
      <c r="H7">
        <f t="shared" si="0"/>
        <v>35.19047619047619</v>
      </c>
    </row>
    <row r="8" spans="1:8" x14ac:dyDescent="0.35">
      <c r="A8" t="s">
        <v>13</v>
      </c>
      <c r="B8" t="s">
        <v>59</v>
      </c>
      <c r="C8">
        <v>29444</v>
      </c>
      <c r="D8">
        <v>68695</v>
      </c>
      <c r="E8">
        <v>3490</v>
      </c>
      <c r="F8">
        <v>6.81</v>
      </c>
      <c r="G8">
        <v>54.42</v>
      </c>
      <c r="H8">
        <f t="shared" si="0"/>
        <v>8.4366762177650436</v>
      </c>
    </row>
    <row r="9" spans="1:8" x14ac:dyDescent="0.35">
      <c r="A9" t="s">
        <v>14</v>
      </c>
      <c r="B9" t="s">
        <v>58</v>
      </c>
      <c r="C9">
        <v>49908</v>
      </c>
      <c r="D9">
        <v>38900</v>
      </c>
      <c r="E9">
        <v>6097</v>
      </c>
      <c r="F9">
        <v>14.09</v>
      </c>
      <c r="G9">
        <v>47.91</v>
      </c>
      <c r="H9">
        <f t="shared" si="0"/>
        <v>8.1856650811874694</v>
      </c>
    </row>
    <row r="10" spans="1:8" x14ac:dyDescent="0.35">
      <c r="A10" t="s">
        <v>15</v>
      </c>
      <c r="B10" t="s">
        <v>60</v>
      </c>
      <c r="C10">
        <v>20921</v>
      </c>
      <c r="D10">
        <v>85899</v>
      </c>
      <c r="E10">
        <v>6454</v>
      </c>
      <c r="F10">
        <v>10.74</v>
      </c>
      <c r="G10">
        <v>188.35</v>
      </c>
      <c r="H10">
        <f t="shared" si="0"/>
        <v>3.2415556244189649</v>
      </c>
    </row>
    <row r="11" spans="1:8" x14ac:dyDescent="0.35">
      <c r="A11" t="s">
        <v>16</v>
      </c>
      <c r="B11" t="s">
        <v>59</v>
      </c>
      <c r="C11">
        <v>14057</v>
      </c>
      <c r="D11">
        <v>48701</v>
      </c>
      <c r="E11">
        <v>763</v>
      </c>
      <c r="F11">
        <v>9.65</v>
      </c>
      <c r="G11">
        <v>192.82</v>
      </c>
      <c r="H11">
        <f t="shared" si="0"/>
        <v>18.423328964613368</v>
      </c>
    </row>
    <row r="12" spans="1:8" x14ac:dyDescent="0.35">
      <c r="A12" t="s">
        <v>17</v>
      </c>
      <c r="B12" t="s">
        <v>58</v>
      </c>
      <c r="C12">
        <v>46268</v>
      </c>
      <c r="D12">
        <v>20033</v>
      </c>
      <c r="E12">
        <v>9424</v>
      </c>
      <c r="F12">
        <v>1.22</v>
      </c>
      <c r="G12">
        <v>20.260000000000002</v>
      </c>
      <c r="H12">
        <f t="shared" si="0"/>
        <v>4.9095925297113752</v>
      </c>
    </row>
    <row r="13" spans="1:8" x14ac:dyDescent="0.35">
      <c r="A13" t="s">
        <v>18</v>
      </c>
      <c r="B13" t="s">
        <v>57</v>
      </c>
      <c r="C13">
        <v>25858</v>
      </c>
      <c r="D13">
        <v>11805</v>
      </c>
      <c r="E13">
        <v>641</v>
      </c>
      <c r="F13">
        <v>13.61</v>
      </c>
      <c r="G13">
        <v>-15.15</v>
      </c>
      <c r="H13">
        <f t="shared" si="0"/>
        <v>40.340093603744151</v>
      </c>
    </row>
    <row r="14" spans="1:8" x14ac:dyDescent="0.35">
      <c r="A14" t="s">
        <v>19</v>
      </c>
      <c r="B14" t="s">
        <v>60</v>
      </c>
      <c r="C14">
        <v>49689</v>
      </c>
      <c r="D14">
        <v>36851</v>
      </c>
      <c r="E14">
        <v>5533</v>
      </c>
      <c r="F14">
        <v>13.69</v>
      </c>
      <c r="G14">
        <v>138.4</v>
      </c>
      <c r="H14">
        <f t="shared" si="0"/>
        <v>8.9804807518525216</v>
      </c>
    </row>
    <row r="15" spans="1:8" x14ac:dyDescent="0.35">
      <c r="A15" t="s">
        <v>20</v>
      </c>
      <c r="B15" t="s">
        <v>57</v>
      </c>
      <c r="C15">
        <v>45638</v>
      </c>
      <c r="D15">
        <v>27832</v>
      </c>
      <c r="E15">
        <v>5193</v>
      </c>
      <c r="F15">
        <v>11.81</v>
      </c>
      <c r="G15">
        <v>71.959999999999994</v>
      </c>
      <c r="H15">
        <f t="shared" si="0"/>
        <v>8.7883689582129794</v>
      </c>
    </row>
    <row r="16" spans="1:8" x14ac:dyDescent="0.35">
      <c r="A16" t="s">
        <v>21</v>
      </c>
      <c r="B16" t="s">
        <v>58</v>
      </c>
      <c r="C16">
        <v>27062</v>
      </c>
      <c r="D16">
        <v>64437</v>
      </c>
      <c r="E16">
        <v>967</v>
      </c>
      <c r="F16">
        <v>0.6</v>
      </c>
      <c r="G16">
        <v>-0.46</v>
      </c>
      <c r="H16">
        <f t="shared" si="0"/>
        <v>27.985522233712512</v>
      </c>
    </row>
    <row r="17" spans="1:8" x14ac:dyDescent="0.35">
      <c r="A17" t="s">
        <v>22</v>
      </c>
      <c r="B17" t="s">
        <v>60</v>
      </c>
      <c r="C17">
        <v>37850</v>
      </c>
      <c r="D17">
        <v>14944</v>
      </c>
      <c r="E17">
        <v>8723</v>
      </c>
      <c r="F17">
        <v>1.33</v>
      </c>
      <c r="G17">
        <v>130.43</v>
      </c>
      <c r="H17">
        <f t="shared" si="0"/>
        <v>4.3391035194313883</v>
      </c>
    </row>
    <row r="18" spans="1:8" x14ac:dyDescent="0.35">
      <c r="A18" t="s">
        <v>23</v>
      </c>
      <c r="B18" t="s">
        <v>60</v>
      </c>
      <c r="C18">
        <v>47486</v>
      </c>
      <c r="D18">
        <v>20873</v>
      </c>
      <c r="E18">
        <v>5569</v>
      </c>
      <c r="F18">
        <v>3.77</v>
      </c>
      <c r="G18">
        <v>99.92</v>
      </c>
      <c r="H18">
        <f t="shared" si="0"/>
        <v>8.5268450350152634</v>
      </c>
    </row>
    <row r="19" spans="1:8" x14ac:dyDescent="0.35">
      <c r="A19" t="s">
        <v>24</v>
      </c>
      <c r="B19" t="s">
        <v>59</v>
      </c>
      <c r="C19">
        <v>21567</v>
      </c>
      <c r="D19">
        <v>41372</v>
      </c>
      <c r="E19">
        <v>6356</v>
      </c>
      <c r="F19">
        <v>2.4</v>
      </c>
      <c r="G19">
        <v>195.71</v>
      </c>
      <c r="H19">
        <f t="shared" si="0"/>
        <v>3.393171806167401</v>
      </c>
    </row>
    <row r="20" spans="1:8" x14ac:dyDescent="0.35">
      <c r="A20" t="s">
        <v>25</v>
      </c>
      <c r="B20" t="s">
        <v>57</v>
      </c>
      <c r="C20">
        <v>30739</v>
      </c>
      <c r="D20">
        <v>90464</v>
      </c>
      <c r="E20">
        <v>9498</v>
      </c>
      <c r="F20">
        <v>6.28</v>
      </c>
      <c r="G20">
        <v>30.03</v>
      </c>
      <c r="H20">
        <f t="shared" si="0"/>
        <v>3.2363655506422404</v>
      </c>
    </row>
    <row r="21" spans="1:8" x14ac:dyDescent="0.35">
      <c r="A21" t="s">
        <v>26</v>
      </c>
      <c r="B21" t="s">
        <v>57</v>
      </c>
      <c r="C21">
        <v>44285</v>
      </c>
      <c r="D21">
        <v>16379</v>
      </c>
      <c r="E21">
        <v>1269</v>
      </c>
      <c r="F21">
        <v>13.88</v>
      </c>
      <c r="G21">
        <v>68.88</v>
      </c>
      <c r="H21">
        <f t="shared" si="0"/>
        <v>34.897557131599683</v>
      </c>
    </row>
    <row r="22" spans="1:8" x14ac:dyDescent="0.35">
      <c r="A22" t="s">
        <v>27</v>
      </c>
      <c r="B22" t="s">
        <v>60</v>
      </c>
      <c r="C22">
        <v>4754</v>
      </c>
      <c r="D22">
        <v>37751</v>
      </c>
      <c r="E22">
        <v>930</v>
      </c>
      <c r="F22">
        <v>7.34</v>
      </c>
      <c r="G22">
        <v>99.36</v>
      </c>
      <c r="H22">
        <f t="shared" si="0"/>
        <v>5.1118279569892477</v>
      </c>
    </row>
    <row r="23" spans="1:8" x14ac:dyDescent="0.35">
      <c r="A23" t="s">
        <v>28</v>
      </c>
      <c r="B23" t="s">
        <v>60</v>
      </c>
      <c r="C23">
        <v>28044</v>
      </c>
      <c r="D23">
        <v>90822</v>
      </c>
      <c r="E23">
        <v>1751</v>
      </c>
      <c r="F23">
        <v>0.69</v>
      </c>
      <c r="G23">
        <v>154.16999999999999</v>
      </c>
      <c r="H23">
        <f t="shared" si="0"/>
        <v>16.015990862364362</v>
      </c>
    </row>
    <row r="24" spans="1:8" x14ac:dyDescent="0.35">
      <c r="A24" t="s">
        <v>29</v>
      </c>
      <c r="B24" t="s">
        <v>59</v>
      </c>
      <c r="C24">
        <v>2724</v>
      </c>
      <c r="D24">
        <v>6110</v>
      </c>
      <c r="E24">
        <v>1236</v>
      </c>
      <c r="F24">
        <v>4.5999999999999996</v>
      </c>
      <c r="G24">
        <v>100.74</v>
      </c>
      <c r="H24">
        <f t="shared" si="0"/>
        <v>2.203883495145631</v>
      </c>
    </row>
    <row r="25" spans="1:8" x14ac:dyDescent="0.35">
      <c r="A25" t="s">
        <v>30</v>
      </c>
      <c r="B25" t="s">
        <v>59</v>
      </c>
      <c r="C25">
        <v>2376</v>
      </c>
      <c r="D25">
        <v>55341</v>
      </c>
      <c r="E25">
        <v>2910</v>
      </c>
      <c r="F25">
        <v>1.1499999999999999</v>
      </c>
      <c r="G25">
        <v>114.84</v>
      </c>
      <c r="H25">
        <f t="shared" si="0"/>
        <v>0.81649484536082473</v>
      </c>
    </row>
    <row r="26" spans="1:8" x14ac:dyDescent="0.35">
      <c r="A26" t="s">
        <v>31</v>
      </c>
      <c r="B26" t="s">
        <v>57</v>
      </c>
      <c r="C26">
        <v>9706</v>
      </c>
      <c r="D26">
        <v>13087</v>
      </c>
      <c r="E26">
        <v>8767</v>
      </c>
      <c r="F26">
        <v>1.03</v>
      </c>
      <c r="G26">
        <v>29.75</v>
      </c>
      <c r="H26">
        <f t="shared" si="0"/>
        <v>1.1071061936808486</v>
      </c>
    </row>
    <row r="27" spans="1:8" x14ac:dyDescent="0.35">
      <c r="A27" t="s">
        <v>32</v>
      </c>
      <c r="B27" t="s">
        <v>57</v>
      </c>
      <c r="C27">
        <v>9894</v>
      </c>
      <c r="D27">
        <v>24762</v>
      </c>
      <c r="E27">
        <v>9618</v>
      </c>
      <c r="F27">
        <v>4.5</v>
      </c>
      <c r="G27">
        <v>166.32</v>
      </c>
      <c r="H27">
        <f t="shared" si="0"/>
        <v>1.0286961946350592</v>
      </c>
    </row>
    <row r="28" spans="1:8" x14ac:dyDescent="0.35">
      <c r="A28" t="s">
        <v>33</v>
      </c>
      <c r="B28" t="s">
        <v>59</v>
      </c>
      <c r="C28">
        <v>19037</v>
      </c>
      <c r="D28">
        <v>83617</v>
      </c>
      <c r="E28">
        <v>1119</v>
      </c>
      <c r="F28">
        <v>4.5</v>
      </c>
      <c r="G28">
        <v>74.3</v>
      </c>
      <c r="H28">
        <f t="shared" si="0"/>
        <v>17.012511170688114</v>
      </c>
    </row>
    <row r="29" spans="1:8" x14ac:dyDescent="0.35">
      <c r="A29" t="s">
        <v>34</v>
      </c>
      <c r="B29" t="s">
        <v>60</v>
      </c>
      <c r="C29">
        <v>19450</v>
      </c>
      <c r="D29">
        <v>10596</v>
      </c>
      <c r="E29">
        <v>5337</v>
      </c>
      <c r="F29">
        <v>11.91</v>
      </c>
      <c r="G29">
        <v>11.01</v>
      </c>
      <c r="H29">
        <f t="shared" si="0"/>
        <v>3.6443694959715196</v>
      </c>
    </row>
    <row r="30" spans="1:8" x14ac:dyDescent="0.35">
      <c r="A30" t="s">
        <v>35</v>
      </c>
      <c r="B30" t="s">
        <v>57</v>
      </c>
      <c r="C30">
        <v>17406</v>
      </c>
      <c r="D30">
        <v>19313</v>
      </c>
      <c r="E30">
        <v>1383</v>
      </c>
      <c r="F30">
        <v>14.64</v>
      </c>
      <c r="G30">
        <v>126.12</v>
      </c>
      <c r="H30">
        <f t="shared" si="0"/>
        <v>12.585683297180044</v>
      </c>
    </row>
    <row r="31" spans="1:8" x14ac:dyDescent="0.35">
      <c r="A31" t="s">
        <v>36</v>
      </c>
      <c r="B31" t="s">
        <v>59</v>
      </c>
      <c r="C31">
        <v>30725</v>
      </c>
      <c r="D31">
        <v>67549</v>
      </c>
      <c r="E31">
        <v>759</v>
      </c>
      <c r="F31">
        <v>5.88</v>
      </c>
      <c r="G31">
        <v>27.54</v>
      </c>
      <c r="H31">
        <f t="shared" si="0"/>
        <v>40.480895915678524</v>
      </c>
    </row>
    <row r="32" spans="1:8" x14ac:dyDescent="0.35">
      <c r="A32" t="s">
        <v>37</v>
      </c>
      <c r="B32" t="s">
        <v>58</v>
      </c>
      <c r="C32">
        <v>6926</v>
      </c>
      <c r="D32">
        <v>24705</v>
      </c>
      <c r="E32">
        <v>2110</v>
      </c>
      <c r="F32">
        <v>6.72</v>
      </c>
      <c r="G32">
        <v>1.46</v>
      </c>
      <c r="H32">
        <f t="shared" si="0"/>
        <v>3.2824644549763033</v>
      </c>
    </row>
    <row r="33" spans="1:8" x14ac:dyDescent="0.35">
      <c r="A33" t="s">
        <v>38</v>
      </c>
      <c r="B33" t="s">
        <v>58</v>
      </c>
      <c r="C33">
        <v>40019</v>
      </c>
      <c r="D33">
        <v>68364</v>
      </c>
      <c r="E33">
        <v>8690</v>
      </c>
      <c r="F33">
        <v>12.75</v>
      </c>
      <c r="G33">
        <v>169.64</v>
      </c>
      <c r="H33">
        <f t="shared" si="0"/>
        <v>4.60517836593786</v>
      </c>
    </row>
    <row r="34" spans="1:8" x14ac:dyDescent="0.35">
      <c r="A34" t="s">
        <v>39</v>
      </c>
      <c r="B34" t="s">
        <v>60</v>
      </c>
      <c r="C34">
        <v>10496</v>
      </c>
      <c r="D34">
        <v>74445</v>
      </c>
      <c r="E34">
        <v>1833</v>
      </c>
      <c r="F34">
        <v>4.3899999999999997</v>
      </c>
      <c r="G34">
        <v>81.239999999999995</v>
      </c>
      <c r="H34">
        <f t="shared" si="0"/>
        <v>5.7261320240043645</v>
      </c>
    </row>
    <row r="35" spans="1:8" x14ac:dyDescent="0.35">
      <c r="A35" t="s">
        <v>40</v>
      </c>
      <c r="B35" t="s">
        <v>58</v>
      </c>
      <c r="C35">
        <v>37068</v>
      </c>
      <c r="D35">
        <v>79645</v>
      </c>
      <c r="E35">
        <v>2225</v>
      </c>
      <c r="F35">
        <v>2.77</v>
      </c>
      <c r="G35">
        <v>144.84</v>
      </c>
      <c r="H35">
        <f t="shared" si="0"/>
        <v>16.659775280898877</v>
      </c>
    </row>
    <row r="36" spans="1:8" x14ac:dyDescent="0.35">
      <c r="A36" t="s">
        <v>41</v>
      </c>
      <c r="B36" t="s">
        <v>60</v>
      </c>
      <c r="C36">
        <v>30806</v>
      </c>
      <c r="D36">
        <v>3023</v>
      </c>
      <c r="E36">
        <v>2271</v>
      </c>
      <c r="F36">
        <v>12.87</v>
      </c>
      <c r="G36">
        <v>43.93</v>
      </c>
      <c r="H36">
        <f t="shared" si="0"/>
        <v>13.564949361514751</v>
      </c>
    </row>
    <row r="37" spans="1:8" x14ac:dyDescent="0.35">
      <c r="A37" t="s">
        <v>42</v>
      </c>
      <c r="B37" t="s">
        <v>57</v>
      </c>
      <c r="C37">
        <v>23663</v>
      </c>
      <c r="D37">
        <v>60796</v>
      </c>
      <c r="E37">
        <v>8366</v>
      </c>
      <c r="F37">
        <v>1.17</v>
      </c>
      <c r="G37">
        <v>153.13</v>
      </c>
      <c r="H37">
        <f t="shared" si="0"/>
        <v>2.8284723882381066</v>
      </c>
    </row>
    <row r="38" spans="1:8" x14ac:dyDescent="0.35">
      <c r="A38" t="s">
        <v>43</v>
      </c>
      <c r="B38" t="s">
        <v>59</v>
      </c>
      <c r="C38">
        <v>42321</v>
      </c>
      <c r="D38">
        <v>81073</v>
      </c>
      <c r="E38">
        <v>3571</v>
      </c>
      <c r="F38">
        <v>9.49</v>
      </c>
      <c r="G38">
        <v>4.63</v>
      </c>
      <c r="H38">
        <f t="shared" si="0"/>
        <v>11.85130215625875</v>
      </c>
    </row>
    <row r="39" spans="1:8" x14ac:dyDescent="0.35">
      <c r="A39" t="s">
        <v>44</v>
      </c>
      <c r="B39" t="s">
        <v>60</v>
      </c>
      <c r="C39">
        <v>37495</v>
      </c>
      <c r="D39">
        <v>93197</v>
      </c>
      <c r="E39">
        <v>9128</v>
      </c>
      <c r="F39">
        <v>8.65</v>
      </c>
      <c r="G39">
        <v>58.31</v>
      </c>
      <c r="H39">
        <f t="shared" si="0"/>
        <v>4.107690622261174</v>
      </c>
    </row>
    <row r="40" spans="1:8" x14ac:dyDescent="0.35">
      <c r="A40" t="s">
        <v>45</v>
      </c>
      <c r="B40" t="s">
        <v>57</v>
      </c>
      <c r="C40">
        <v>23656</v>
      </c>
      <c r="D40">
        <v>65429</v>
      </c>
      <c r="E40">
        <v>5724</v>
      </c>
      <c r="F40">
        <v>5.52</v>
      </c>
      <c r="G40">
        <v>195.17</v>
      </c>
      <c r="H40">
        <f t="shared" si="0"/>
        <v>4.13277428371768</v>
      </c>
    </row>
    <row r="41" spans="1:8" x14ac:dyDescent="0.35">
      <c r="A41" t="s">
        <v>46</v>
      </c>
      <c r="B41" t="s">
        <v>57</v>
      </c>
      <c r="C41">
        <v>26860</v>
      </c>
      <c r="D41">
        <v>62627</v>
      </c>
      <c r="E41">
        <v>8791</v>
      </c>
      <c r="F41">
        <v>5.07</v>
      </c>
      <c r="G41">
        <v>154.68</v>
      </c>
      <c r="H41">
        <f t="shared" si="0"/>
        <v>3.0553975656921852</v>
      </c>
    </row>
    <row r="42" spans="1:8" x14ac:dyDescent="0.35">
      <c r="A42" t="s">
        <v>47</v>
      </c>
      <c r="B42" t="s">
        <v>59</v>
      </c>
      <c r="C42">
        <v>17832</v>
      </c>
      <c r="D42">
        <v>34848</v>
      </c>
      <c r="E42">
        <v>8429</v>
      </c>
      <c r="F42">
        <v>11.69</v>
      </c>
      <c r="G42">
        <v>89.4</v>
      </c>
      <c r="H42">
        <f t="shared" si="0"/>
        <v>2.115553446434927</v>
      </c>
    </row>
    <row r="43" spans="1:8" x14ac:dyDescent="0.35">
      <c r="A43" t="s">
        <v>48</v>
      </c>
      <c r="B43" t="s">
        <v>60</v>
      </c>
      <c r="C43">
        <v>39787</v>
      </c>
      <c r="D43">
        <v>38804</v>
      </c>
      <c r="E43">
        <v>2197</v>
      </c>
      <c r="F43">
        <v>1.75</v>
      </c>
      <c r="G43">
        <v>54.75</v>
      </c>
      <c r="H43">
        <f t="shared" si="0"/>
        <v>18.109695038689122</v>
      </c>
    </row>
    <row r="44" spans="1:8" x14ac:dyDescent="0.35">
      <c r="A44" t="s">
        <v>49</v>
      </c>
      <c r="B44" t="s">
        <v>59</v>
      </c>
      <c r="C44">
        <v>49231</v>
      </c>
      <c r="D44">
        <v>16379</v>
      </c>
      <c r="E44">
        <v>5168</v>
      </c>
      <c r="F44">
        <v>3.93</v>
      </c>
      <c r="G44">
        <v>171.87</v>
      </c>
      <c r="H44">
        <f t="shared" si="0"/>
        <v>9.5261222910216716</v>
      </c>
    </row>
    <row r="45" spans="1:8" x14ac:dyDescent="0.35">
      <c r="A45" t="s">
        <v>50</v>
      </c>
      <c r="B45" t="s">
        <v>59</v>
      </c>
      <c r="C45">
        <v>22727</v>
      </c>
      <c r="D45">
        <v>60664</v>
      </c>
      <c r="E45">
        <v>6497</v>
      </c>
      <c r="F45">
        <v>11.12</v>
      </c>
      <c r="G45">
        <v>99.87</v>
      </c>
      <c r="H45">
        <f t="shared" si="0"/>
        <v>3.4980760350931197</v>
      </c>
    </row>
    <row r="46" spans="1:8" x14ac:dyDescent="0.35">
      <c r="A46" t="s">
        <v>51</v>
      </c>
      <c r="B46" t="s">
        <v>57</v>
      </c>
      <c r="C46">
        <v>43815</v>
      </c>
      <c r="D46">
        <v>28766</v>
      </c>
      <c r="E46">
        <v>2857</v>
      </c>
      <c r="F46">
        <v>8.4499999999999993</v>
      </c>
      <c r="G46">
        <v>146.85</v>
      </c>
      <c r="H46">
        <f t="shared" si="0"/>
        <v>15.336016800840042</v>
      </c>
    </row>
    <row r="47" spans="1:8" x14ac:dyDescent="0.35">
      <c r="A47" t="s">
        <v>52</v>
      </c>
      <c r="B47" t="s">
        <v>60</v>
      </c>
      <c r="C47">
        <v>30545</v>
      </c>
      <c r="D47">
        <v>69099</v>
      </c>
      <c r="E47">
        <v>4020</v>
      </c>
      <c r="F47">
        <v>2.36</v>
      </c>
      <c r="G47">
        <v>145.9</v>
      </c>
      <c r="H47">
        <f t="shared" si="0"/>
        <v>7.5982587064676617</v>
      </c>
    </row>
    <row r="48" spans="1:8" x14ac:dyDescent="0.35">
      <c r="A48" t="s">
        <v>53</v>
      </c>
      <c r="B48" t="s">
        <v>58</v>
      </c>
      <c r="C48">
        <v>45522</v>
      </c>
      <c r="D48">
        <v>37060</v>
      </c>
      <c r="E48">
        <v>8286</v>
      </c>
      <c r="F48">
        <v>13.29</v>
      </c>
      <c r="G48">
        <v>-16.05</v>
      </c>
      <c r="H48">
        <f t="shared" si="0"/>
        <v>5.4938450398262129</v>
      </c>
    </row>
    <row r="49" spans="1:8" x14ac:dyDescent="0.35">
      <c r="A49" t="s">
        <v>54</v>
      </c>
      <c r="B49" t="s">
        <v>59</v>
      </c>
      <c r="C49">
        <v>3520</v>
      </c>
      <c r="D49">
        <v>95733</v>
      </c>
      <c r="E49">
        <v>2000</v>
      </c>
      <c r="F49">
        <v>6.2</v>
      </c>
      <c r="G49">
        <v>7.78</v>
      </c>
      <c r="H49">
        <f t="shared" si="0"/>
        <v>1.76</v>
      </c>
    </row>
    <row r="50" spans="1:8" x14ac:dyDescent="0.35">
      <c r="A50" t="s">
        <v>55</v>
      </c>
      <c r="B50" t="s">
        <v>57</v>
      </c>
      <c r="C50">
        <v>4081</v>
      </c>
      <c r="D50">
        <v>70122</v>
      </c>
      <c r="E50">
        <v>2710</v>
      </c>
      <c r="F50">
        <v>12.5</v>
      </c>
      <c r="G50">
        <v>125.12</v>
      </c>
      <c r="H50">
        <f t="shared" si="0"/>
        <v>1.5059040590405903</v>
      </c>
    </row>
    <row r="51" spans="1:8" x14ac:dyDescent="0.35">
      <c r="A51" t="s">
        <v>56</v>
      </c>
      <c r="B51" t="s">
        <v>59</v>
      </c>
      <c r="C51">
        <v>35196</v>
      </c>
      <c r="D51">
        <v>17087</v>
      </c>
      <c r="E51">
        <v>7000</v>
      </c>
      <c r="F51">
        <v>11.92</v>
      </c>
      <c r="G51">
        <v>15.56</v>
      </c>
      <c r="H51">
        <f t="shared" si="0"/>
        <v>5.0279999999999996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E207A-C4FB-4FD5-99FE-19C17966DA79}">
  <dimension ref="A1:A7"/>
  <sheetViews>
    <sheetView workbookViewId="0">
      <selection activeCell="E29" sqref="E29"/>
    </sheetView>
  </sheetViews>
  <sheetFormatPr defaultRowHeight="14.5" x14ac:dyDescent="0.35"/>
  <sheetData>
    <row r="1" spans="1:1" x14ac:dyDescent="0.35">
      <c r="A1" t="s">
        <v>61</v>
      </c>
    </row>
    <row r="3" spans="1:1" x14ac:dyDescent="0.35">
      <c r="A3" t="s">
        <v>62</v>
      </c>
    </row>
    <row r="5" spans="1:1" x14ac:dyDescent="0.35">
      <c r="A5" t="s">
        <v>63</v>
      </c>
    </row>
    <row r="7" spans="1:1" x14ac:dyDescent="0.35">
      <c r="A7"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E2F45-9662-477B-B05F-8EC36762C430}">
  <dimension ref="A3:B129"/>
  <sheetViews>
    <sheetView zoomScale="57" workbookViewId="0">
      <selection activeCell="B6" sqref="B6"/>
    </sheetView>
  </sheetViews>
  <sheetFormatPr defaultRowHeight="14.5" x14ac:dyDescent="0.35"/>
  <cols>
    <col min="1" max="1" width="14.7265625" bestFit="1" customWidth="1"/>
    <col min="2" max="2" width="13.6328125" bestFit="1" customWidth="1"/>
    <col min="3" max="3" width="17.453125" bestFit="1" customWidth="1"/>
  </cols>
  <sheetData>
    <row r="3" spans="1:2" x14ac:dyDescent="0.35">
      <c r="A3" s="2" t="s">
        <v>65</v>
      </c>
      <c r="B3" t="s">
        <v>67</v>
      </c>
    </row>
    <row r="4" spans="1:2" x14ac:dyDescent="0.35">
      <c r="A4" s="3" t="s">
        <v>58</v>
      </c>
      <c r="B4" s="5">
        <v>195.5</v>
      </c>
    </row>
    <row r="5" spans="1:2" x14ac:dyDescent="0.35">
      <c r="A5" s="3" t="s">
        <v>60</v>
      </c>
      <c r="B5" s="5">
        <v>188.35</v>
      </c>
    </row>
    <row r="6" spans="1:2" x14ac:dyDescent="0.35">
      <c r="A6" s="3" t="s">
        <v>57</v>
      </c>
      <c r="B6" s="5">
        <v>195.17</v>
      </c>
    </row>
    <row r="7" spans="1:2" x14ac:dyDescent="0.35">
      <c r="A7" s="3" t="s">
        <v>59</v>
      </c>
      <c r="B7" s="5">
        <v>195.71</v>
      </c>
    </row>
    <row r="8" spans="1:2" x14ac:dyDescent="0.35">
      <c r="A8" s="3" t="s">
        <v>66</v>
      </c>
      <c r="B8" s="5">
        <v>195.71</v>
      </c>
    </row>
    <row r="16" spans="1:2" x14ac:dyDescent="0.35">
      <c r="A16" s="2" t="s">
        <v>65</v>
      </c>
      <c r="B16" t="s">
        <v>68</v>
      </c>
    </row>
    <row r="17" spans="1:2" x14ac:dyDescent="0.35">
      <c r="A17" s="3" t="s">
        <v>7</v>
      </c>
      <c r="B17">
        <v>1.31</v>
      </c>
    </row>
    <row r="18" spans="1:2" x14ac:dyDescent="0.35">
      <c r="A18" s="3" t="s">
        <v>8</v>
      </c>
      <c r="B18">
        <v>12.86</v>
      </c>
    </row>
    <row r="19" spans="1:2" x14ac:dyDescent="0.35">
      <c r="A19" s="3" t="s">
        <v>9</v>
      </c>
      <c r="B19">
        <v>3.77</v>
      </c>
    </row>
    <row r="20" spans="1:2" x14ac:dyDescent="0.35">
      <c r="A20" s="3" t="s">
        <v>10</v>
      </c>
      <c r="B20">
        <v>5.97</v>
      </c>
    </row>
    <row r="21" spans="1:2" x14ac:dyDescent="0.35">
      <c r="A21" s="3" t="s">
        <v>11</v>
      </c>
      <c r="B21">
        <v>7.2</v>
      </c>
    </row>
    <row r="22" spans="1:2" x14ac:dyDescent="0.35">
      <c r="A22" s="3" t="s">
        <v>12</v>
      </c>
      <c r="B22">
        <v>7.47</v>
      </c>
    </row>
    <row r="23" spans="1:2" x14ac:dyDescent="0.35">
      <c r="A23" s="3" t="s">
        <v>13</v>
      </c>
      <c r="B23">
        <v>6.81</v>
      </c>
    </row>
    <row r="24" spans="1:2" x14ac:dyDescent="0.35">
      <c r="A24" s="3" t="s">
        <v>14</v>
      </c>
      <c r="B24">
        <v>14.09</v>
      </c>
    </row>
    <row r="25" spans="1:2" x14ac:dyDescent="0.35">
      <c r="A25" s="3" t="s">
        <v>15</v>
      </c>
      <c r="B25">
        <v>10.74</v>
      </c>
    </row>
    <row r="26" spans="1:2" x14ac:dyDescent="0.35">
      <c r="A26" s="3" t="s">
        <v>16</v>
      </c>
      <c r="B26">
        <v>9.65</v>
      </c>
    </row>
    <row r="27" spans="1:2" x14ac:dyDescent="0.35">
      <c r="A27" s="3" t="s">
        <v>17</v>
      </c>
      <c r="B27">
        <v>1.22</v>
      </c>
    </row>
    <row r="28" spans="1:2" x14ac:dyDescent="0.35">
      <c r="A28" s="3" t="s">
        <v>18</v>
      </c>
      <c r="B28">
        <v>13.61</v>
      </c>
    </row>
    <row r="29" spans="1:2" x14ac:dyDescent="0.35">
      <c r="A29" s="3" t="s">
        <v>19</v>
      </c>
      <c r="B29">
        <v>13.69</v>
      </c>
    </row>
    <row r="30" spans="1:2" x14ac:dyDescent="0.35">
      <c r="A30" s="3" t="s">
        <v>20</v>
      </c>
      <c r="B30">
        <v>11.81</v>
      </c>
    </row>
    <row r="31" spans="1:2" x14ac:dyDescent="0.35">
      <c r="A31" s="3" t="s">
        <v>21</v>
      </c>
      <c r="B31">
        <v>0.6</v>
      </c>
    </row>
    <row r="32" spans="1:2" x14ac:dyDescent="0.35">
      <c r="A32" s="3" t="s">
        <v>22</v>
      </c>
      <c r="B32">
        <v>1.33</v>
      </c>
    </row>
    <row r="33" spans="1:2" x14ac:dyDescent="0.35">
      <c r="A33" s="3" t="s">
        <v>23</v>
      </c>
      <c r="B33">
        <v>3.77</v>
      </c>
    </row>
    <row r="34" spans="1:2" x14ac:dyDescent="0.35">
      <c r="A34" s="3" t="s">
        <v>24</v>
      </c>
      <c r="B34">
        <v>2.4</v>
      </c>
    </row>
    <row r="35" spans="1:2" x14ac:dyDescent="0.35">
      <c r="A35" s="3" t="s">
        <v>25</v>
      </c>
      <c r="B35">
        <v>6.28</v>
      </c>
    </row>
    <row r="36" spans="1:2" x14ac:dyDescent="0.35">
      <c r="A36" s="3" t="s">
        <v>26</v>
      </c>
      <c r="B36">
        <v>13.88</v>
      </c>
    </row>
    <row r="37" spans="1:2" x14ac:dyDescent="0.35">
      <c r="A37" s="3" t="s">
        <v>27</v>
      </c>
      <c r="B37">
        <v>7.34</v>
      </c>
    </row>
    <row r="38" spans="1:2" x14ac:dyDescent="0.35">
      <c r="A38" s="3" t="s">
        <v>28</v>
      </c>
      <c r="B38">
        <v>0.69</v>
      </c>
    </row>
    <row r="39" spans="1:2" x14ac:dyDescent="0.35">
      <c r="A39" s="3" t="s">
        <v>29</v>
      </c>
      <c r="B39">
        <v>4.5999999999999996</v>
      </c>
    </row>
    <row r="40" spans="1:2" x14ac:dyDescent="0.35">
      <c r="A40" s="3" t="s">
        <v>30</v>
      </c>
      <c r="B40">
        <v>1.1499999999999999</v>
      </c>
    </row>
    <row r="41" spans="1:2" x14ac:dyDescent="0.35">
      <c r="A41" s="3" t="s">
        <v>31</v>
      </c>
      <c r="B41">
        <v>1.03</v>
      </c>
    </row>
    <row r="42" spans="1:2" x14ac:dyDescent="0.35">
      <c r="A42" s="3" t="s">
        <v>32</v>
      </c>
      <c r="B42">
        <v>4.5</v>
      </c>
    </row>
    <row r="43" spans="1:2" x14ac:dyDescent="0.35">
      <c r="A43" s="3" t="s">
        <v>33</v>
      </c>
      <c r="B43">
        <v>4.5</v>
      </c>
    </row>
    <row r="44" spans="1:2" x14ac:dyDescent="0.35">
      <c r="A44" s="3" t="s">
        <v>34</v>
      </c>
      <c r="B44">
        <v>11.91</v>
      </c>
    </row>
    <row r="45" spans="1:2" x14ac:dyDescent="0.35">
      <c r="A45" s="3" t="s">
        <v>35</v>
      </c>
      <c r="B45">
        <v>14.64</v>
      </c>
    </row>
    <row r="46" spans="1:2" x14ac:dyDescent="0.35">
      <c r="A46" s="3" t="s">
        <v>36</v>
      </c>
      <c r="B46">
        <v>5.88</v>
      </c>
    </row>
    <row r="47" spans="1:2" x14ac:dyDescent="0.35">
      <c r="A47" s="3" t="s">
        <v>37</v>
      </c>
      <c r="B47">
        <v>6.72</v>
      </c>
    </row>
    <row r="48" spans="1:2" x14ac:dyDescent="0.35">
      <c r="A48" s="3" t="s">
        <v>38</v>
      </c>
      <c r="B48">
        <v>12.75</v>
      </c>
    </row>
    <row r="49" spans="1:2" x14ac:dyDescent="0.35">
      <c r="A49" s="3" t="s">
        <v>39</v>
      </c>
      <c r="B49">
        <v>4.3899999999999997</v>
      </c>
    </row>
    <row r="50" spans="1:2" x14ac:dyDescent="0.35">
      <c r="A50" s="3" t="s">
        <v>40</v>
      </c>
      <c r="B50">
        <v>2.77</v>
      </c>
    </row>
    <row r="51" spans="1:2" x14ac:dyDescent="0.35">
      <c r="A51" s="3" t="s">
        <v>41</v>
      </c>
      <c r="B51">
        <v>12.87</v>
      </c>
    </row>
    <row r="52" spans="1:2" x14ac:dyDescent="0.35">
      <c r="A52" s="3" t="s">
        <v>42</v>
      </c>
      <c r="B52">
        <v>1.17</v>
      </c>
    </row>
    <row r="53" spans="1:2" x14ac:dyDescent="0.35">
      <c r="A53" s="3" t="s">
        <v>43</v>
      </c>
      <c r="B53">
        <v>9.49</v>
      </c>
    </row>
    <row r="54" spans="1:2" x14ac:dyDescent="0.35">
      <c r="A54" s="3" t="s">
        <v>44</v>
      </c>
      <c r="B54">
        <v>8.65</v>
      </c>
    </row>
    <row r="55" spans="1:2" x14ac:dyDescent="0.35">
      <c r="A55" s="3" t="s">
        <v>45</v>
      </c>
      <c r="B55">
        <v>5.52</v>
      </c>
    </row>
    <row r="56" spans="1:2" x14ac:dyDescent="0.35">
      <c r="A56" s="3" t="s">
        <v>46</v>
      </c>
      <c r="B56">
        <v>5.07</v>
      </c>
    </row>
    <row r="57" spans="1:2" x14ac:dyDescent="0.35">
      <c r="A57" s="3" t="s">
        <v>47</v>
      </c>
      <c r="B57">
        <v>11.69</v>
      </c>
    </row>
    <row r="58" spans="1:2" x14ac:dyDescent="0.35">
      <c r="A58" s="3" t="s">
        <v>48</v>
      </c>
      <c r="B58">
        <v>1.75</v>
      </c>
    </row>
    <row r="59" spans="1:2" x14ac:dyDescent="0.35">
      <c r="A59" s="3" t="s">
        <v>49</v>
      </c>
      <c r="B59">
        <v>3.93</v>
      </c>
    </row>
    <row r="60" spans="1:2" x14ac:dyDescent="0.35">
      <c r="A60" s="3" t="s">
        <v>50</v>
      </c>
      <c r="B60">
        <v>11.12</v>
      </c>
    </row>
    <row r="61" spans="1:2" x14ac:dyDescent="0.35">
      <c r="A61" s="3" t="s">
        <v>51</v>
      </c>
      <c r="B61">
        <v>8.4499999999999993</v>
      </c>
    </row>
    <row r="62" spans="1:2" x14ac:dyDescent="0.35">
      <c r="A62" s="3" t="s">
        <v>52</v>
      </c>
      <c r="B62">
        <v>2.36</v>
      </c>
    </row>
    <row r="63" spans="1:2" x14ac:dyDescent="0.35">
      <c r="A63" s="3" t="s">
        <v>53</v>
      </c>
      <c r="B63">
        <v>13.29</v>
      </c>
    </row>
    <row r="64" spans="1:2" x14ac:dyDescent="0.35">
      <c r="A64" s="3" t="s">
        <v>54</v>
      </c>
      <c r="B64">
        <v>6.2</v>
      </c>
    </row>
    <row r="65" spans="1:2" x14ac:dyDescent="0.35">
      <c r="A65" s="3" t="s">
        <v>55</v>
      </c>
      <c r="B65">
        <v>12.5</v>
      </c>
    </row>
    <row r="66" spans="1:2" x14ac:dyDescent="0.35">
      <c r="A66" s="3" t="s">
        <v>56</v>
      </c>
      <c r="B66">
        <v>11.92</v>
      </c>
    </row>
    <row r="67" spans="1:2" x14ac:dyDescent="0.35">
      <c r="A67" s="3" t="s">
        <v>66</v>
      </c>
      <c r="B67">
        <v>14.64</v>
      </c>
    </row>
    <row r="78" spans="1:2" x14ac:dyDescent="0.35">
      <c r="A78" s="2" t="s">
        <v>65</v>
      </c>
      <c r="B78" t="s">
        <v>70</v>
      </c>
    </row>
    <row r="79" spans="1:2" x14ac:dyDescent="0.35">
      <c r="A79" s="3" t="s">
        <v>7</v>
      </c>
      <c r="B79">
        <v>3.436548223350254</v>
      </c>
    </row>
    <row r="80" spans="1:2" x14ac:dyDescent="0.35">
      <c r="A80" s="3" t="s">
        <v>8</v>
      </c>
      <c r="B80">
        <v>6.2986601354271716</v>
      </c>
    </row>
    <row r="81" spans="1:2" x14ac:dyDescent="0.35">
      <c r="A81" s="3" t="s">
        <v>9</v>
      </c>
      <c r="B81">
        <v>4.4382322408423551</v>
      </c>
    </row>
    <row r="82" spans="1:2" x14ac:dyDescent="0.35">
      <c r="A82" s="3" t="s">
        <v>10</v>
      </c>
      <c r="B82">
        <v>5.3495934959349594</v>
      </c>
    </row>
    <row r="83" spans="1:2" x14ac:dyDescent="0.35">
      <c r="A83" s="3" t="s">
        <v>11</v>
      </c>
      <c r="B83">
        <v>170.65517241379311</v>
      </c>
    </row>
    <row r="84" spans="1:2" x14ac:dyDescent="0.35">
      <c r="A84" s="3" t="s">
        <v>12</v>
      </c>
      <c r="B84">
        <v>35.19047619047619</v>
      </c>
    </row>
    <row r="85" spans="1:2" x14ac:dyDescent="0.35">
      <c r="A85" s="3" t="s">
        <v>13</v>
      </c>
      <c r="B85">
        <v>8.4366762177650436</v>
      </c>
    </row>
    <row r="86" spans="1:2" x14ac:dyDescent="0.35">
      <c r="A86" s="3" t="s">
        <v>14</v>
      </c>
      <c r="B86">
        <v>8.1856650811874694</v>
      </c>
    </row>
    <row r="87" spans="1:2" x14ac:dyDescent="0.35">
      <c r="A87" s="3" t="s">
        <v>15</v>
      </c>
      <c r="B87">
        <v>3.2415556244189649</v>
      </c>
    </row>
    <row r="88" spans="1:2" x14ac:dyDescent="0.35">
      <c r="A88" s="3" t="s">
        <v>16</v>
      </c>
      <c r="B88">
        <v>18.423328964613368</v>
      </c>
    </row>
    <row r="89" spans="1:2" x14ac:dyDescent="0.35">
      <c r="A89" s="3" t="s">
        <v>17</v>
      </c>
      <c r="B89">
        <v>4.9095925297113752</v>
      </c>
    </row>
    <row r="90" spans="1:2" x14ac:dyDescent="0.35">
      <c r="A90" s="3" t="s">
        <v>18</v>
      </c>
      <c r="B90">
        <v>40.340093603744151</v>
      </c>
    </row>
    <row r="91" spans="1:2" x14ac:dyDescent="0.35">
      <c r="A91" s="3" t="s">
        <v>19</v>
      </c>
      <c r="B91">
        <v>8.9804807518525216</v>
      </c>
    </row>
    <row r="92" spans="1:2" x14ac:dyDescent="0.35">
      <c r="A92" s="3" t="s">
        <v>20</v>
      </c>
      <c r="B92">
        <v>8.7883689582129794</v>
      </c>
    </row>
    <row r="93" spans="1:2" x14ac:dyDescent="0.35">
      <c r="A93" s="3" t="s">
        <v>21</v>
      </c>
      <c r="B93">
        <v>27.985522233712512</v>
      </c>
    </row>
    <row r="94" spans="1:2" x14ac:dyDescent="0.35">
      <c r="A94" s="3" t="s">
        <v>22</v>
      </c>
      <c r="B94">
        <v>4.3391035194313883</v>
      </c>
    </row>
    <row r="95" spans="1:2" x14ac:dyDescent="0.35">
      <c r="A95" s="3" t="s">
        <v>23</v>
      </c>
      <c r="B95">
        <v>8.5268450350152634</v>
      </c>
    </row>
    <row r="96" spans="1:2" x14ac:dyDescent="0.35">
      <c r="A96" s="3" t="s">
        <v>24</v>
      </c>
      <c r="B96">
        <v>3.393171806167401</v>
      </c>
    </row>
    <row r="97" spans="1:2" x14ac:dyDescent="0.35">
      <c r="A97" s="3" t="s">
        <v>25</v>
      </c>
      <c r="B97">
        <v>3.2363655506422404</v>
      </c>
    </row>
    <row r="98" spans="1:2" x14ac:dyDescent="0.35">
      <c r="A98" s="3" t="s">
        <v>26</v>
      </c>
      <c r="B98">
        <v>34.897557131599683</v>
      </c>
    </row>
    <row r="99" spans="1:2" x14ac:dyDescent="0.35">
      <c r="A99" s="3" t="s">
        <v>27</v>
      </c>
      <c r="B99">
        <v>5.1118279569892477</v>
      </c>
    </row>
    <row r="100" spans="1:2" x14ac:dyDescent="0.35">
      <c r="A100" s="3" t="s">
        <v>28</v>
      </c>
      <c r="B100">
        <v>16.015990862364362</v>
      </c>
    </row>
    <row r="101" spans="1:2" x14ac:dyDescent="0.35">
      <c r="A101" s="3" t="s">
        <v>29</v>
      </c>
      <c r="B101">
        <v>2.203883495145631</v>
      </c>
    </row>
    <row r="102" spans="1:2" x14ac:dyDescent="0.35">
      <c r="A102" s="3" t="s">
        <v>30</v>
      </c>
      <c r="B102">
        <v>0.81649484536082473</v>
      </c>
    </row>
    <row r="103" spans="1:2" x14ac:dyDescent="0.35">
      <c r="A103" s="3" t="s">
        <v>31</v>
      </c>
      <c r="B103">
        <v>1.1071061936808486</v>
      </c>
    </row>
    <row r="104" spans="1:2" x14ac:dyDescent="0.35">
      <c r="A104" s="3" t="s">
        <v>32</v>
      </c>
      <c r="B104">
        <v>1.0286961946350592</v>
      </c>
    </row>
    <row r="105" spans="1:2" x14ac:dyDescent="0.35">
      <c r="A105" s="3" t="s">
        <v>33</v>
      </c>
      <c r="B105">
        <v>17.012511170688114</v>
      </c>
    </row>
    <row r="106" spans="1:2" x14ac:dyDescent="0.35">
      <c r="A106" s="3" t="s">
        <v>34</v>
      </c>
      <c r="B106">
        <v>3.6443694959715196</v>
      </c>
    </row>
    <row r="107" spans="1:2" x14ac:dyDescent="0.35">
      <c r="A107" s="3" t="s">
        <v>35</v>
      </c>
      <c r="B107">
        <v>12.585683297180044</v>
      </c>
    </row>
    <row r="108" spans="1:2" x14ac:dyDescent="0.35">
      <c r="A108" s="3" t="s">
        <v>36</v>
      </c>
      <c r="B108">
        <v>40.480895915678524</v>
      </c>
    </row>
    <row r="109" spans="1:2" x14ac:dyDescent="0.35">
      <c r="A109" s="3" t="s">
        <v>37</v>
      </c>
      <c r="B109">
        <v>3.2824644549763033</v>
      </c>
    </row>
    <row r="110" spans="1:2" x14ac:dyDescent="0.35">
      <c r="A110" s="3" t="s">
        <v>38</v>
      </c>
      <c r="B110">
        <v>4.60517836593786</v>
      </c>
    </row>
    <row r="111" spans="1:2" x14ac:dyDescent="0.35">
      <c r="A111" s="3" t="s">
        <v>39</v>
      </c>
      <c r="B111">
        <v>5.7261320240043645</v>
      </c>
    </row>
    <row r="112" spans="1:2" x14ac:dyDescent="0.35">
      <c r="A112" s="3" t="s">
        <v>40</v>
      </c>
      <c r="B112">
        <v>16.659775280898877</v>
      </c>
    </row>
    <row r="113" spans="1:2" x14ac:dyDescent="0.35">
      <c r="A113" s="3" t="s">
        <v>41</v>
      </c>
      <c r="B113">
        <v>13.564949361514751</v>
      </c>
    </row>
    <row r="114" spans="1:2" x14ac:dyDescent="0.35">
      <c r="A114" s="3" t="s">
        <v>42</v>
      </c>
      <c r="B114">
        <v>2.8284723882381066</v>
      </c>
    </row>
    <row r="115" spans="1:2" x14ac:dyDescent="0.35">
      <c r="A115" s="3" t="s">
        <v>43</v>
      </c>
      <c r="B115">
        <v>11.85130215625875</v>
      </c>
    </row>
    <row r="116" spans="1:2" x14ac:dyDescent="0.35">
      <c r="A116" s="3" t="s">
        <v>44</v>
      </c>
      <c r="B116">
        <v>4.107690622261174</v>
      </c>
    </row>
    <row r="117" spans="1:2" x14ac:dyDescent="0.35">
      <c r="A117" s="3" t="s">
        <v>45</v>
      </c>
      <c r="B117">
        <v>4.13277428371768</v>
      </c>
    </row>
    <row r="118" spans="1:2" x14ac:dyDescent="0.35">
      <c r="A118" s="3" t="s">
        <v>46</v>
      </c>
      <c r="B118">
        <v>3.0553975656921852</v>
      </c>
    </row>
    <row r="119" spans="1:2" x14ac:dyDescent="0.35">
      <c r="A119" s="3" t="s">
        <v>47</v>
      </c>
      <c r="B119">
        <v>2.115553446434927</v>
      </c>
    </row>
    <row r="120" spans="1:2" x14ac:dyDescent="0.35">
      <c r="A120" s="3" t="s">
        <v>48</v>
      </c>
      <c r="B120">
        <v>18.109695038689122</v>
      </c>
    </row>
    <row r="121" spans="1:2" x14ac:dyDescent="0.35">
      <c r="A121" s="3" t="s">
        <v>49</v>
      </c>
      <c r="B121">
        <v>9.5261222910216716</v>
      </c>
    </row>
    <row r="122" spans="1:2" x14ac:dyDescent="0.35">
      <c r="A122" s="3" t="s">
        <v>50</v>
      </c>
      <c r="B122">
        <v>3.4980760350931197</v>
      </c>
    </row>
    <row r="123" spans="1:2" x14ac:dyDescent="0.35">
      <c r="A123" s="3" t="s">
        <v>51</v>
      </c>
      <c r="B123">
        <v>15.336016800840042</v>
      </c>
    </row>
    <row r="124" spans="1:2" x14ac:dyDescent="0.35">
      <c r="A124" s="3" t="s">
        <v>52</v>
      </c>
      <c r="B124">
        <v>7.5982587064676617</v>
      </c>
    </row>
    <row r="125" spans="1:2" x14ac:dyDescent="0.35">
      <c r="A125" s="3" t="s">
        <v>53</v>
      </c>
      <c r="B125">
        <v>5.4938450398262129</v>
      </c>
    </row>
    <row r="126" spans="1:2" x14ac:dyDescent="0.35">
      <c r="A126" s="3" t="s">
        <v>54</v>
      </c>
      <c r="B126">
        <v>1.76</v>
      </c>
    </row>
    <row r="127" spans="1:2" x14ac:dyDescent="0.35">
      <c r="A127" s="3" t="s">
        <v>55</v>
      </c>
      <c r="B127">
        <v>1.5059040590405903</v>
      </c>
    </row>
    <row r="128" spans="1:2" x14ac:dyDescent="0.35">
      <c r="A128" s="3" t="s">
        <v>56</v>
      </c>
      <c r="B128">
        <v>5.0279999999999996</v>
      </c>
    </row>
    <row r="129" spans="1:2" x14ac:dyDescent="0.35">
      <c r="A129" s="3" t="s">
        <v>66</v>
      </c>
      <c r="B129">
        <v>648.84607705650592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38FD-5462-4EB4-A69C-B7097E083F39}">
  <dimension ref="A1"/>
  <sheetViews>
    <sheetView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954AA-71D2-4537-A132-DA9AF2213B88}">
  <dimension ref="A1"/>
  <sheetViews>
    <sheetView zoomScale="99"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C3BB4-A90A-4514-994F-788C84472B79}">
  <dimension ref="A1"/>
  <sheetViews>
    <sheetView tabSelected="1" workbookViewId="0">
      <selection activeCell="S22" sqref="S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93EBB-1132-41D7-83F6-4F3B33804B5D}">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Group Members</vt:lpstr>
      <vt:lpstr>Data</vt:lpstr>
      <vt:lpstr>Questions</vt:lpstr>
      <vt:lpstr>Pivot Table</vt:lpstr>
      <vt:lpstr>Home</vt:lpstr>
      <vt:lpstr>Engagement Rate</vt:lpstr>
      <vt:lpstr>ROI</vt:lpstr>
      <vt:lpstr>Conversions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REENA NUPUR</dc:creator>
  <cp:lastModifiedBy>Arnav Agarwal</cp:lastModifiedBy>
  <dcterms:created xsi:type="dcterms:W3CDTF">2025-04-16T07:16:22Z</dcterms:created>
  <dcterms:modified xsi:type="dcterms:W3CDTF">2025-12-30T21:13:19Z</dcterms:modified>
</cp:coreProperties>
</file>